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3" codeName="{1BF75E64-36B4-4512-B9E4-3ED0869CA821}"/>
  <workbookPr codeName="ThisWorkbook" hidePivotFieldList="1"/>
  <mc:AlternateContent xmlns:mc="http://schemas.openxmlformats.org/markup-compatibility/2006">
    <mc:Choice Requires="x15">
      <x15ac:absPath xmlns:x15ac="http://schemas.microsoft.com/office/spreadsheetml/2010/11/ac" url="C:\Users\Ashok\OneDrive\Desktop\"/>
    </mc:Choice>
  </mc:AlternateContent>
  <xr:revisionPtr revIDLastSave="0" documentId="13_ncr:1_{5D2E7521-275A-4471-8444-B61277A0DEEA}" xr6:coauthVersionLast="47" xr6:coauthVersionMax="47" xr10:uidLastSave="{00000000-0000-0000-0000-000000000000}"/>
  <bookViews>
    <workbookView xWindow="-120" yWindow="-120" windowWidth="20730" windowHeight="11160" activeTab="2" xr2:uid="{00000000-000D-0000-FFFF-FFFF00000000}"/>
  </bookViews>
  <sheets>
    <sheet name="Evaluation DB" sheetId="78" r:id="rId1"/>
    <sheet name="DataSheet" sheetId="80" r:id="rId2"/>
    <sheet name="pivot" sheetId="82" r:id="rId3"/>
    <sheet name="scoring rule" sheetId="81" r:id="rId4"/>
  </sheets>
  <definedNames>
    <definedName name="autoupdatesource">OFFSET(DataSheet!$A$1,0,0,COUNTA(DataSheet!$A:$A),COUNTA(DataSheet!$1:$1))</definedName>
    <definedName name="Slicer_Department_Head">#N/A</definedName>
    <definedName name="Slicer_Month">#N/A</definedName>
    <definedName name="Slicer_Sales_Manager">#N/A</definedName>
    <definedName name="Slicer_Sales_Rep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82" l="1"/>
  <c r="O4" i="82" s="1"/>
  <c r="N3" i="80"/>
  <c r="N4" i="80"/>
  <c r="N5" i="80"/>
  <c r="N6" i="80"/>
  <c r="N7" i="80"/>
  <c r="N8" i="80"/>
  <c r="N9" i="80"/>
  <c r="N10" i="80"/>
  <c r="N11" i="80"/>
  <c r="N12" i="80"/>
  <c r="N13" i="80"/>
  <c r="N14" i="80"/>
  <c r="N15" i="80"/>
  <c r="N16" i="80"/>
  <c r="N17" i="80"/>
  <c r="N18" i="80"/>
  <c r="N19" i="80"/>
  <c r="N20" i="80"/>
  <c r="N21" i="80"/>
  <c r="N22" i="80"/>
  <c r="N23" i="80"/>
  <c r="N24" i="80"/>
  <c r="N25" i="80"/>
  <c r="N26" i="80"/>
  <c r="N27" i="80"/>
  <c r="N28" i="80"/>
  <c r="N29" i="80"/>
  <c r="N30" i="80"/>
  <c r="N31" i="80"/>
  <c r="N32" i="80"/>
  <c r="N33" i="80"/>
  <c r="N34" i="80"/>
  <c r="N35" i="80"/>
  <c r="N36" i="80"/>
  <c r="N37" i="80"/>
  <c r="N38" i="80"/>
  <c r="N39" i="80"/>
  <c r="N40" i="80"/>
  <c r="N41" i="80"/>
  <c r="N42" i="80"/>
  <c r="N43" i="80"/>
  <c r="N44" i="80"/>
  <c r="N45" i="80"/>
  <c r="N46" i="80"/>
  <c r="N47" i="80"/>
  <c r="N48" i="80"/>
  <c r="N49" i="80"/>
  <c r="N50" i="80"/>
  <c r="N51" i="80"/>
  <c r="N52" i="80"/>
  <c r="N53" i="80"/>
  <c r="N54" i="80"/>
  <c r="N55" i="80"/>
  <c r="N56" i="80"/>
  <c r="N57" i="80"/>
  <c r="N58" i="80"/>
  <c r="N59" i="80"/>
  <c r="N60" i="80"/>
  <c r="N61" i="80"/>
  <c r="N62" i="80"/>
  <c r="N63" i="80"/>
  <c r="N64" i="80"/>
  <c r="N65" i="80"/>
  <c r="N66" i="80"/>
  <c r="N67" i="80"/>
  <c r="N68" i="80"/>
  <c r="N69" i="80"/>
  <c r="N70" i="80"/>
  <c r="N71" i="80"/>
  <c r="N72" i="80"/>
  <c r="N73" i="80"/>
  <c r="N74" i="80"/>
  <c r="N75" i="80"/>
  <c r="N76" i="80"/>
  <c r="N77" i="80"/>
  <c r="N78" i="80"/>
  <c r="N2" i="80"/>
  <c r="M3" i="80"/>
  <c r="M4" i="80"/>
  <c r="M5" i="80"/>
  <c r="M6" i="80"/>
  <c r="M7" i="80"/>
  <c r="M8" i="80"/>
  <c r="M9" i="80"/>
  <c r="M10" i="80"/>
  <c r="M11" i="80"/>
  <c r="M12" i="80"/>
  <c r="M13" i="80"/>
  <c r="M14" i="80"/>
  <c r="M15" i="80"/>
  <c r="M16" i="80"/>
  <c r="M17" i="80"/>
  <c r="M18" i="80"/>
  <c r="M19" i="80"/>
  <c r="M20" i="80"/>
  <c r="M21" i="80"/>
  <c r="M22" i="80"/>
  <c r="M23" i="80"/>
  <c r="M24" i="80"/>
  <c r="M25" i="80"/>
  <c r="M26" i="80"/>
  <c r="M27" i="80"/>
  <c r="M28" i="80"/>
  <c r="M29" i="80"/>
  <c r="M30" i="80"/>
  <c r="M31" i="80"/>
  <c r="M32" i="80"/>
  <c r="M33" i="80"/>
  <c r="M34" i="80"/>
  <c r="M35" i="80"/>
  <c r="M36" i="80"/>
  <c r="M37" i="80"/>
  <c r="M38" i="80"/>
  <c r="M39" i="80"/>
  <c r="M40" i="80"/>
  <c r="M41" i="80"/>
  <c r="M42" i="80"/>
  <c r="M43" i="80"/>
  <c r="M44" i="80"/>
  <c r="M45" i="80"/>
  <c r="M46" i="80"/>
  <c r="M47" i="80"/>
  <c r="M48" i="80"/>
  <c r="M49" i="80"/>
  <c r="M50" i="80"/>
  <c r="M51" i="80"/>
  <c r="M52" i="80"/>
  <c r="M53" i="80"/>
  <c r="M54" i="80"/>
  <c r="M55" i="80"/>
  <c r="M56" i="80"/>
  <c r="M57" i="80"/>
  <c r="M58" i="80"/>
  <c r="M59" i="80"/>
  <c r="M60" i="80"/>
  <c r="M61" i="80"/>
  <c r="M62" i="80"/>
  <c r="M63" i="80"/>
  <c r="M64" i="80"/>
  <c r="M65" i="80"/>
  <c r="M66" i="80"/>
  <c r="M67" i="80"/>
  <c r="M68" i="80"/>
  <c r="M69" i="80"/>
  <c r="M70" i="80"/>
  <c r="M71" i="80"/>
  <c r="M72" i="80"/>
  <c r="M73" i="80"/>
  <c r="M74" i="80"/>
  <c r="M75" i="80"/>
  <c r="M76" i="80"/>
  <c r="M77" i="80"/>
  <c r="M78" i="80"/>
  <c r="M2" i="80"/>
  <c r="J3" i="80"/>
  <c r="J4" i="80"/>
  <c r="J5" i="80"/>
  <c r="J6" i="80"/>
  <c r="J7" i="80"/>
  <c r="J8" i="80"/>
  <c r="J9" i="80"/>
  <c r="J10" i="80"/>
  <c r="J11" i="80"/>
  <c r="J12" i="80"/>
  <c r="J13" i="80"/>
  <c r="J14" i="80"/>
  <c r="J15" i="80"/>
  <c r="J16" i="80"/>
  <c r="J17" i="80"/>
  <c r="J18" i="80"/>
  <c r="J19" i="80"/>
  <c r="J20" i="80"/>
  <c r="J21" i="80"/>
  <c r="J22" i="80"/>
  <c r="J23" i="80"/>
  <c r="J24" i="80"/>
  <c r="J25" i="80"/>
  <c r="J26" i="80"/>
  <c r="J27" i="80"/>
  <c r="J28" i="80"/>
  <c r="J29" i="80"/>
  <c r="J30" i="80"/>
  <c r="J31" i="80"/>
  <c r="J32" i="80"/>
  <c r="J33" i="80"/>
  <c r="J34" i="80"/>
  <c r="J35" i="80"/>
  <c r="J36" i="80"/>
  <c r="J37" i="80"/>
  <c r="J38" i="80"/>
  <c r="J39" i="80"/>
  <c r="J40" i="80"/>
  <c r="J41" i="80"/>
  <c r="J42" i="80"/>
  <c r="J43" i="80"/>
  <c r="J44" i="80"/>
  <c r="J45" i="80"/>
  <c r="J46" i="80"/>
  <c r="J47" i="80"/>
  <c r="J48" i="80"/>
  <c r="J49" i="80"/>
  <c r="J50" i="80"/>
  <c r="J51" i="80"/>
  <c r="J52" i="80"/>
  <c r="J53" i="80"/>
  <c r="J54" i="80"/>
  <c r="J55" i="80"/>
  <c r="J56" i="80"/>
  <c r="J57" i="80"/>
  <c r="J58" i="80"/>
  <c r="J59" i="80"/>
  <c r="J60" i="80"/>
  <c r="J61" i="80"/>
  <c r="J62" i="80"/>
  <c r="J63" i="80"/>
  <c r="J64" i="80"/>
  <c r="J65" i="80"/>
  <c r="J66" i="80"/>
  <c r="J67" i="80"/>
  <c r="J68" i="80"/>
  <c r="J69" i="80"/>
  <c r="J70" i="80"/>
  <c r="J71" i="80"/>
  <c r="J72" i="80"/>
  <c r="J73" i="80"/>
  <c r="J74" i="80"/>
  <c r="J75" i="80"/>
  <c r="J76" i="80"/>
  <c r="J77" i="80"/>
  <c r="J78" i="80"/>
  <c r="J2" i="80"/>
  <c r="G3" i="80"/>
  <c r="G4" i="80"/>
  <c r="G5" i="80"/>
  <c r="G6" i="80"/>
  <c r="G7" i="80"/>
  <c r="G8" i="80"/>
  <c r="G9" i="80"/>
  <c r="G10" i="80"/>
  <c r="G11" i="80"/>
  <c r="G12" i="80"/>
  <c r="G13" i="80"/>
  <c r="G14" i="80"/>
  <c r="G15" i="80"/>
  <c r="G16" i="80"/>
  <c r="G17" i="80"/>
  <c r="G18" i="80"/>
  <c r="G19" i="80"/>
  <c r="G20" i="80"/>
  <c r="G21" i="80"/>
  <c r="G22" i="80"/>
  <c r="G23" i="80"/>
  <c r="G24" i="80"/>
  <c r="G25" i="80"/>
  <c r="G26" i="80"/>
  <c r="G27" i="80"/>
  <c r="G28" i="80"/>
  <c r="G29" i="80"/>
  <c r="G30" i="80"/>
  <c r="G31" i="80"/>
  <c r="G32" i="80"/>
  <c r="G33" i="80"/>
  <c r="G34" i="80"/>
  <c r="G35" i="80"/>
  <c r="G36" i="80"/>
  <c r="G37" i="80"/>
  <c r="G38" i="80"/>
  <c r="G39" i="80"/>
  <c r="G40" i="80"/>
  <c r="G41" i="80"/>
  <c r="G42" i="80"/>
  <c r="G43" i="80"/>
  <c r="G44" i="80"/>
  <c r="G45" i="80"/>
  <c r="G46" i="80"/>
  <c r="G47" i="80"/>
  <c r="G48" i="80"/>
  <c r="G49" i="80"/>
  <c r="G50" i="80"/>
  <c r="G51" i="80"/>
  <c r="G52" i="80"/>
  <c r="G53" i="80"/>
  <c r="G54" i="80"/>
  <c r="G55" i="80"/>
  <c r="G56" i="80"/>
  <c r="G57" i="80"/>
  <c r="G58" i="80"/>
  <c r="G59" i="80"/>
  <c r="G60" i="80"/>
  <c r="G61" i="80"/>
  <c r="G62" i="80"/>
  <c r="G63" i="80"/>
  <c r="G64" i="80"/>
  <c r="G65" i="80"/>
  <c r="G66" i="80"/>
  <c r="G67" i="80"/>
  <c r="G68" i="80"/>
  <c r="G69" i="80"/>
  <c r="G70" i="80"/>
  <c r="G71" i="80"/>
  <c r="G72" i="80"/>
  <c r="G73" i="80"/>
  <c r="G74" i="80"/>
  <c r="G75" i="80"/>
  <c r="G76" i="80"/>
  <c r="G77" i="80"/>
  <c r="G78" i="80"/>
  <c r="G2" i="80"/>
  <c r="J4" i="82"/>
  <c r="F4" i="82"/>
  <c r="B4" i="82"/>
</calcChain>
</file>

<file path=xl/sharedStrings.xml><?xml version="1.0" encoding="utf-8"?>
<sst xmlns="http://schemas.openxmlformats.org/spreadsheetml/2006/main" count="264" uniqueCount="49">
  <si>
    <t>Month</t>
  </si>
  <si>
    <t>Sales Manager</t>
  </si>
  <si>
    <t>Department Head</t>
  </si>
  <si>
    <t>Jack</t>
  </si>
  <si>
    <t>Olivia</t>
  </si>
  <si>
    <t>Emma</t>
  </si>
  <si>
    <t>Sophia</t>
  </si>
  <si>
    <t>James</t>
  </si>
  <si>
    <t>Henry</t>
  </si>
  <si>
    <t>Lily</t>
  </si>
  <si>
    <t>Mila</t>
  </si>
  <si>
    <t>Jackson</t>
  </si>
  <si>
    <t>Daniel</t>
  </si>
  <si>
    <t>Elena</t>
  </si>
  <si>
    <t>Tanner</t>
  </si>
  <si>
    <t>Edward</t>
  </si>
  <si>
    <t>Harrison</t>
  </si>
  <si>
    <t>Madison</t>
  </si>
  <si>
    <t>Jemma</t>
  </si>
  <si>
    <t>Value Target ('000)</t>
  </si>
  <si>
    <t>Value Ach ('000)</t>
  </si>
  <si>
    <t>Call Plan</t>
  </si>
  <si>
    <t>Sales Reps</t>
  </si>
  <si>
    <t>Wyatt</t>
  </si>
  <si>
    <t>Effective Call</t>
  </si>
  <si>
    <t>Productivity %</t>
  </si>
  <si>
    <t>Pmt. Collecion Target</t>
  </si>
  <si>
    <t>Collection Ach</t>
  </si>
  <si>
    <t>Score Calculation Rule</t>
  </si>
  <si>
    <t>Performance Indicator</t>
  </si>
  <si>
    <t>Weight</t>
  </si>
  <si>
    <t>Sales Value Ach</t>
  </si>
  <si>
    <t>Call Ach</t>
  </si>
  <si>
    <t>V. Ach %</t>
  </si>
  <si>
    <t>C. Ach %</t>
  </si>
  <si>
    <t>Performace Score</t>
  </si>
  <si>
    <t>Performance Status</t>
  </si>
  <si>
    <t>Score (At Least)</t>
  </si>
  <si>
    <t>Poor 😌</t>
  </si>
  <si>
    <t>Average 😑</t>
  </si>
  <si>
    <t>Good 🙂</t>
  </si>
  <si>
    <t>Excellent 🤗</t>
  </si>
  <si>
    <t>Sum of Value Target ('000)</t>
  </si>
  <si>
    <t>Sum of Value Ach ('000)</t>
  </si>
  <si>
    <t>Sum of Call Plan</t>
  </si>
  <si>
    <t>Sum of Effective Call</t>
  </si>
  <si>
    <t>Sum of Pmt. Collecion Target</t>
  </si>
  <si>
    <t>Sum of Collection Ach</t>
  </si>
  <si>
    <t>Average of Performace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</si>
</sst>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m"/>
    <numFmt numFmtId="165" formatCode="0.0%"/>
  </numFmts>
  <fonts count="9" x14ac:knownFonts="1">
    <font>
      <sz val="11"/>
      <color theme="1"/>
      <name val="Calibri"/>
      <family val="2"/>
      <scheme val="minor"/>
    </font>
    <font>
      <b/>
      <sz val="12"/>
      <color theme="1"/>
      <name val="Daytona"/>
      <family val="2"/>
    </font>
    <font>
      <sz val="12"/>
      <color theme="1"/>
      <name val="Daytona"/>
      <family val="2"/>
    </font>
    <font>
      <b/>
      <sz val="16"/>
      <color theme="1"/>
      <name val="Daytona"/>
      <family val="2"/>
    </font>
    <font>
      <sz val="11"/>
      <color theme="1"/>
      <name val="Calibri"/>
      <family val="2"/>
      <scheme val="minor"/>
    </font>
    <font>
      <sz val="12"/>
      <color theme="1"/>
      <name val="HGPGothicE"/>
      <family val="2"/>
      <charset val="128"/>
    </font>
    <font>
      <sz val="8"/>
      <name val="Calibri"/>
      <family val="2"/>
      <scheme val="minor"/>
    </font>
    <font>
      <b/>
      <sz val="11"/>
      <color theme="1"/>
      <name val="Daytona"/>
      <family val="2"/>
    </font>
    <font>
      <sz val="11"/>
      <color theme="1"/>
      <name val="Daytona"/>
      <family val="2"/>
    </font>
  </fonts>
  <fills count="4">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s>
  <borders count="5">
    <border>
      <left/>
      <right/>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2">
    <xf numFmtId="0" fontId="0" fillId="0" borderId="0"/>
    <xf numFmtId="9" fontId="4" fillId="0" borderId="0" applyFont="0" applyFill="0" applyBorder="0" applyAlignment="0" applyProtection="0"/>
  </cellStyleXfs>
  <cellXfs count="30">
    <xf numFmtId="0" fontId="0" fillId="0" borderId="0" xfId="0"/>
    <xf numFmtId="0" fontId="1" fillId="0" borderId="0" xfId="0" applyFont="1" applyAlignment="1">
      <alignment horizontal="center" vertical="center"/>
    </xf>
    <xf numFmtId="0" fontId="2" fillId="0" borderId="0" xfId="0" applyFont="1" applyAlignment="1">
      <alignment horizontal="center" vertical="center"/>
    </xf>
    <xf numFmtId="9" fontId="2" fillId="0" borderId="0" xfId="1" applyFont="1" applyAlignment="1">
      <alignment horizontal="center" vertical="center"/>
    </xf>
    <xf numFmtId="9" fontId="1" fillId="0" borderId="0" xfId="1" applyFont="1" applyAlignment="1">
      <alignment horizontal="center" vertical="center"/>
    </xf>
    <xf numFmtId="0" fontId="2" fillId="0" borderId="1" xfId="0" applyFont="1" applyBorder="1" applyAlignment="1">
      <alignment horizontal="center" vertical="center"/>
    </xf>
    <xf numFmtId="9" fontId="2" fillId="0" borderId="1" xfId="0" applyNumberFormat="1" applyFont="1"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5" fillId="0" borderId="0" xfId="0" applyFont="1" applyAlignment="1">
      <alignment horizontal="center" vertical="center"/>
    </xf>
    <xf numFmtId="164" fontId="7" fillId="2" borderId="2" xfId="0" applyNumberFormat="1" applyFont="1" applyFill="1" applyBorder="1" applyAlignment="1">
      <alignment horizontal="center" vertical="center"/>
    </xf>
    <xf numFmtId="0" fontId="7" fillId="2" borderId="2" xfId="0" applyFont="1" applyFill="1" applyBorder="1" applyAlignment="1">
      <alignment horizontal="center" vertical="center"/>
    </xf>
    <xf numFmtId="9" fontId="7" fillId="2" borderId="2" xfId="1" applyFont="1" applyFill="1" applyBorder="1" applyAlignment="1">
      <alignment horizontal="center" vertical="center"/>
    </xf>
    <xf numFmtId="0" fontId="7" fillId="2" borderId="2"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7" fillId="0" borderId="0" xfId="0" applyFont="1" applyAlignment="1">
      <alignment horizontal="center" vertical="center"/>
    </xf>
    <xf numFmtId="164" fontId="8" fillId="0" borderId="2" xfId="0" applyNumberFormat="1" applyFont="1" applyBorder="1" applyAlignment="1">
      <alignment horizontal="center" vertical="center"/>
    </xf>
    <xf numFmtId="0" fontId="8" fillId="0" borderId="2" xfId="0" applyFont="1" applyBorder="1" applyAlignment="1">
      <alignment horizontal="center" vertical="center"/>
    </xf>
    <xf numFmtId="9" fontId="8" fillId="0" borderId="2" xfId="1" applyFont="1" applyFill="1" applyBorder="1" applyAlignment="1">
      <alignment horizontal="center" vertical="center"/>
    </xf>
    <xf numFmtId="165" fontId="8" fillId="0" borderId="2" xfId="1"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0" borderId="0" xfId="0" applyFont="1" applyAlignment="1">
      <alignment horizontal="center" vertical="center"/>
    </xf>
    <xf numFmtId="0" fontId="8" fillId="0" borderId="4" xfId="0" applyFont="1" applyBorder="1" applyAlignment="1">
      <alignment horizontal="center" vertical="center"/>
    </xf>
    <xf numFmtId="9" fontId="8" fillId="0" borderId="4" xfId="1" applyFont="1" applyFill="1" applyBorder="1" applyAlignment="1">
      <alignment horizontal="center" vertical="center"/>
    </xf>
    <xf numFmtId="164" fontId="8" fillId="0" borderId="0" xfId="0" applyNumberFormat="1" applyFont="1" applyAlignment="1">
      <alignment horizontal="center" vertical="center"/>
    </xf>
    <xf numFmtId="9" fontId="8" fillId="0" borderId="0" xfId="1" applyFont="1" applyFill="1" applyAlignment="1">
      <alignment horizontal="center" vertical="center"/>
    </xf>
    <xf numFmtId="165" fontId="2" fillId="0" borderId="0" xfId="0" applyNumberFormat="1" applyFont="1" applyAlignment="1">
      <alignment horizontal="center" vertical="center"/>
    </xf>
    <xf numFmtId="165" fontId="0" fillId="0" borderId="0" xfId="1" applyNumberFormat="1" applyFont="1"/>
    <xf numFmtId="165" fontId="0" fillId="0" borderId="0" xfId="0" applyNumberFormat="1"/>
    <xf numFmtId="0" fontId="3" fillId="0" borderId="0" xfId="0" applyFont="1" applyAlignment="1">
      <alignment horizontal="center" vertical="center"/>
    </xf>
  </cellXfs>
  <cellStyles count="2">
    <cellStyle name="Normal" xfId="0" builtinId="0"/>
    <cellStyle name="Percent" xfId="1" builtinId="5"/>
  </cellStyles>
  <dxfs count="2">
    <dxf>
      <numFmt numFmtId="165" formatCode="0.0%"/>
    </dxf>
    <dxf>
      <fill>
        <patternFill>
          <bgColor theme="8" tint="0.79998168889431442"/>
        </patternFill>
      </fill>
    </dxf>
  </dxfs>
  <tableStyles count="1" defaultTableStyle="TableStyleMedium2" defaultPivotStyle="PivotStyleLight16">
    <tableStyle name="Slicer Style 1" pivot="0" table="0" count="1" xr9:uid="{414C1D7A-6C12-41A7-97D7-EE04AA3F820D}">
      <tableStyleElement type="wholeTable" dxfId="1"/>
    </tableStyle>
  </tableStyles>
  <colors>
    <mruColors>
      <color rgb="FFFF6600"/>
      <color rgb="FF0000FF"/>
      <color rgb="FFFFFF9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147637</xdr:colOff>
      <xdr:row>0</xdr:row>
      <xdr:rowOff>66675</xdr:rowOff>
    </xdr:from>
    <xdr:to>
      <xdr:col>15</xdr:col>
      <xdr:colOff>52387</xdr:colOff>
      <xdr:row>18</xdr:row>
      <xdr:rowOff>238125</xdr:rowOff>
    </xdr:to>
    <xdr:grpSp>
      <xdr:nvGrpSpPr>
        <xdr:cNvPr id="14" name="Group 13">
          <a:extLst>
            <a:ext uri="{FF2B5EF4-FFF2-40B4-BE49-F238E27FC236}">
              <a16:creationId xmlns:a16="http://schemas.microsoft.com/office/drawing/2014/main" id="{3ADF6456-89D0-FD51-F5F6-ABF594CB43AD}"/>
            </a:ext>
          </a:extLst>
        </xdr:cNvPr>
        <xdr:cNvGrpSpPr/>
      </xdr:nvGrpSpPr>
      <xdr:grpSpPr>
        <a:xfrm>
          <a:off x="147637" y="66675"/>
          <a:ext cx="12125325" cy="4800600"/>
          <a:chOff x="171450" y="66675"/>
          <a:chExt cx="12125325" cy="4800600"/>
        </a:xfrm>
      </xdr:grpSpPr>
      <xdr:sp macro="" textlink="">
        <xdr:nvSpPr>
          <xdr:cNvPr id="2" name="Rectangle: Rounded Corners 1">
            <a:extLst>
              <a:ext uri="{FF2B5EF4-FFF2-40B4-BE49-F238E27FC236}">
                <a16:creationId xmlns:a16="http://schemas.microsoft.com/office/drawing/2014/main" id="{3E8E0CC8-961A-E97F-B951-6D49C9D315A2}"/>
              </a:ext>
            </a:extLst>
          </xdr:cNvPr>
          <xdr:cNvSpPr/>
        </xdr:nvSpPr>
        <xdr:spPr>
          <a:xfrm>
            <a:off x="171450" y="76200"/>
            <a:ext cx="12125325" cy="4791075"/>
          </a:xfrm>
          <a:prstGeom prst="roundRect">
            <a:avLst>
              <a:gd name="adj" fmla="val 4706"/>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9F40F8AF-6FEF-B1AF-73F9-41F4A0C847B9}"/>
              </a:ext>
            </a:extLst>
          </xdr:cNvPr>
          <xdr:cNvSpPr txBox="1"/>
        </xdr:nvSpPr>
        <xdr:spPr>
          <a:xfrm>
            <a:off x="1190625" y="142876"/>
            <a:ext cx="100774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Sales</a:t>
            </a:r>
            <a:r>
              <a:rPr lang="en-US" sz="3200" b="1" baseline="0"/>
              <a:t> Team Performance Review Dashboard</a:t>
            </a:r>
            <a:endParaRPr lang="en-US" sz="3200" b="1"/>
          </a:p>
        </xdr:txBody>
      </xdr:sp>
      <mc:AlternateContent xmlns:mc="http://schemas.openxmlformats.org/markup-compatibility/2006" xmlns:a14="http://schemas.microsoft.com/office/drawing/2010/main">
        <mc:Choice Requires="a14">
          <xdr:graphicFrame macro="">
            <xdr:nvGraphicFramePr>
              <xdr:cNvPr id="4" name="Sales Reps">
                <a:extLst>
                  <a:ext uri="{FF2B5EF4-FFF2-40B4-BE49-F238E27FC236}">
                    <a16:creationId xmlns:a16="http://schemas.microsoft.com/office/drawing/2014/main" id="{70E894BE-0296-47C9-9594-221E722E2DFE}"/>
                  </a:ext>
                </a:extLst>
              </xdr:cNvPr>
              <xdr:cNvGraphicFramePr/>
            </xdr:nvGraphicFramePr>
            <xdr:xfrm>
              <a:off x="304800" y="2543175"/>
              <a:ext cx="1828800" cy="2143125"/>
            </xdr:xfrm>
            <a:graphic>
              <a:graphicData uri="http://schemas.microsoft.com/office/drawing/2010/slicer">
                <sle:slicer xmlns:sle="http://schemas.microsoft.com/office/drawing/2010/slicer" name="Sales Reps"/>
              </a:graphicData>
            </a:graphic>
          </xdr:graphicFrame>
        </mc:Choice>
        <mc:Fallback xmlns="">
          <xdr:sp macro="" textlink="">
            <xdr:nvSpPr>
              <xdr:cNvPr id="0" name=""/>
              <xdr:cNvSpPr>
                <a:spLocks noTextEdit="1"/>
              </xdr:cNvSpPr>
            </xdr:nvSpPr>
            <xdr:spPr>
              <a:xfrm>
                <a:off x="280987" y="2543175"/>
                <a:ext cx="1828800" cy="2143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1F924D95-129F-46C5-A192-7418575BFB87}"/>
                  </a:ext>
                </a:extLst>
              </xdr:cNvPr>
              <xdr:cNvGraphicFramePr/>
            </xdr:nvGraphicFramePr>
            <xdr:xfrm>
              <a:off x="2219325" y="781051"/>
              <a:ext cx="800100" cy="392430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95512" y="781051"/>
                <a:ext cx="800100" cy="3924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Department Head">
                <a:extLst>
                  <a:ext uri="{FF2B5EF4-FFF2-40B4-BE49-F238E27FC236}">
                    <a16:creationId xmlns:a16="http://schemas.microsoft.com/office/drawing/2014/main" id="{DE9573B8-A4C1-467E-ADE5-909206150125}"/>
                  </a:ext>
                </a:extLst>
              </xdr:cNvPr>
              <xdr:cNvGraphicFramePr/>
            </xdr:nvGraphicFramePr>
            <xdr:xfrm>
              <a:off x="333375" y="762001"/>
              <a:ext cx="1828800" cy="723899"/>
            </xdr:xfrm>
            <a:graphic>
              <a:graphicData uri="http://schemas.microsoft.com/office/drawing/2010/slicer">
                <sle:slicer xmlns:sle="http://schemas.microsoft.com/office/drawing/2010/slicer" name="Department Head"/>
              </a:graphicData>
            </a:graphic>
          </xdr:graphicFrame>
        </mc:Choice>
        <mc:Fallback xmlns="">
          <xdr:sp macro="" textlink="">
            <xdr:nvSpPr>
              <xdr:cNvPr id="0" name=""/>
              <xdr:cNvSpPr>
                <a:spLocks noTextEdit="1"/>
              </xdr:cNvSpPr>
            </xdr:nvSpPr>
            <xdr:spPr>
              <a:xfrm>
                <a:off x="309562" y="762001"/>
                <a:ext cx="1828800" cy="723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Sales Manager">
                <a:extLst>
                  <a:ext uri="{FF2B5EF4-FFF2-40B4-BE49-F238E27FC236}">
                    <a16:creationId xmlns:a16="http://schemas.microsoft.com/office/drawing/2014/main" id="{3D599A45-B201-40EF-A95A-F5D2C4BA9E44}"/>
                  </a:ext>
                </a:extLst>
              </xdr:cNvPr>
              <xdr:cNvGraphicFramePr/>
            </xdr:nvGraphicFramePr>
            <xdr:xfrm>
              <a:off x="323850" y="1543050"/>
              <a:ext cx="1828800" cy="962025"/>
            </xdr:xfrm>
            <a:graphic>
              <a:graphicData uri="http://schemas.microsoft.com/office/drawing/2010/slicer">
                <sle:slicer xmlns:sle="http://schemas.microsoft.com/office/drawing/2010/slicer" name="Sales Manager"/>
              </a:graphicData>
            </a:graphic>
          </xdr:graphicFrame>
        </mc:Choice>
        <mc:Fallback xmlns="">
          <xdr:sp macro="" textlink="">
            <xdr:nvSpPr>
              <xdr:cNvPr id="0" name=""/>
              <xdr:cNvSpPr>
                <a:spLocks noTextEdit="1"/>
              </xdr:cNvSpPr>
            </xdr:nvSpPr>
            <xdr:spPr>
              <a:xfrm>
                <a:off x="300037" y="1543050"/>
                <a:ext cx="1828800"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8" name="Rectangle: Rounded Corners 7">
            <a:extLst>
              <a:ext uri="{FF2B5EF4-FFF2-40B4-BE49-F238E27FC236}">
                <a16:creationId xmlns:a16="http://schemas.microsoft.com/office/drawing/2014/main" id="{BB76FD68-973F-3D64-8EE7-758B16DC576E}"/>
              </a:ext>
            </a:extLst>
          </xdr:cNvPr>
          <xdr:cNvSpPr/>
        </xdr:nvSpPr>
        <xdr:spPr>
          <a:xfrm>
            <a:off x="3333750" y="781050"/>
            <a:ext cx="2171700" cy="3933825"/>
          </a:xfrm>
          <a:prstGeom prst="roundRect">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F4DE2B11-EAD2-658F-BC2F-01B7705CC3EB}"/>
              </a:ext>
            </a:extLst>
          </xdr:cNvPr>
          <xdr:cNvSpPr txBox="1"/>
        </xdr:nvSpPr>
        <xdr:spPr>
          <a:xfrm>
            <a:off x="3695700" y="1038225"/>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Value Target</a:t>
            </a:r>
          </a:p>
        </xdr:txBody>
      </xdr:sp>
      <xdr:sp macro="" textlink="pivot!A4">
        <xdr:nvSpPr>
          <xdr:cNvPr id="10" name="TextBox 9">
            <a:extLst>
              <a:ext uri="{FF2B5EF4-FFF2-40B4-BE49-F238E27FC236}">
                <a16:creationId xmlns:a16="http://schemas.microsoft.com/office/drawing/2014/main" id="{43481746-4E7F-4DF7-A693-E8C09022D49C}"/>
              </a:ext>
            </a:extLst>
          </xdr:cNvPr>
          <xdr:cNvSpPr txBox="1"/>
        </xdr:nvSpPr>
        <xdr:spPr>
          <a:xfrm>
            <a:off x="3429000" y="1428750"/>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ABE3E5-8D86-4D47-9963-33A73734ABB5}" type="TxLink">
              <a:rPr lang="en-US" sz="2400">
                <a:solidFill>
                  <a:schemeClr val="accent5">
                    <a:lumMod val="50000"/>
                  </a:schemeClr>
                </a:solidFill>
                <a:latin typeface="Bernard MT Condensed" panose="02050806060905020404" pitchFamily="18" charset="0"/>
                <a:ea typeface="+mn-ea"/>
                <a:cs typeface="+mn-cs"/>
              </a:rPr>
              <a:pPr marL="0" indent="0" algn="ctr"/>
              <a:t>17101</a:t>
            </a:fld>
            <a:endParaRPr lang="en-US" sz="2400">
              <a:solidFill>
                <a:schemeClr val="accent5">
                  <a:lumMod val="50000"/>
                </a:schemeClr>
              </a:solidFill>
              <a:latin typeface="Bernard MT Condensed" panose="02050806060905020404" pitchFamily="18" charset="0"/>
              <a:ea typeface="+mn-ea"/>
              <a:cs typeface="+mn-cs"/>
            </a:endParaRPr>
          </a:p>
        </xdr:txBody>
      </xdr:sp>
      <xdr:sp macro="" textlink="">
        <xdr:nvSpPr>
          <xdr:cNvPr id="11" name="TextBox 10">
            <a:extLst>
              <a:ext uri="{FF2B5EF4-FFF2-40B4-BE49-F238E27FC236}">
                <a16:creationId xmlns:a16="http://schemas.microsoft.com/office/drawing/2014/main" id="{5EC3B95B-D256-4C41-8FAB-DBB28FE76A46}"/>
              </a:ext>
            </a:extLst>
          </xdr:cNvPr>
          <xdr:cNvSpPr txBox="1"/>
        </xdr:nvSpPr>
        <xdr:spPr>
          <a:xfrm>
            <a:off x="3695700" y="2209800"/>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Value Ach</a:t>
            </a:r>
          </a:p>
        </xdr:txBody>
      </xdr:sp>
      <xdr:sp macro="" textlink="pivot!C4">
        <xdr:nvSpPr>
          <xdr:cNvPr id="12" name="TextBox 11">
            <a:extLst>
              <a:ext uri="{FF2B5EF4-FFF2-40B4-BE49-F238E27FC236}">
                <a16:creationId xmlns:a16="http://schemas.microsoft.com/office/drawing/2014/main" id="{19649D5A-92F9-4E4E-81AC-A2BFFF2579A5}"/>
              </a:ext>
            </a:extLst>
          </xdr:cNvPr>
          <xdr:cNvSpPr txBox="1"/>
        </xdr:nvSpPr>
        <xdr:spPr>
          <a:xfrm>
            <a:off x="3429000" y="2600325"/>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7A5AA5-AB9E-421B-B5FE-65F0FEB524D0}" type="TxLink">
              <a:rPr lang="en-US" sz="2400">
                <a:solidFill>
                  <a:srgbClr val="00B050"/>
                </a:solidFill>
                <a:latin typeface="Bernard MT Condensed" panose="02050806060905020404" pitchFamily="18" charset="0"/>
                <a:ea typeface="+mn-ea"/>
                <a:cs typeface="+mn-cs"/>
              </a:rPr>
              <a:pPr marL="0" indent="0" algn="ctr"/>
              <a:t>17502</a:t>
            </a:fld>
            <a:endParaRPr lang="en-US" sz="2400">
              <a:solidFill>
                <a:srgbClr val="00B050"/>
              </a:solidFill>
              <a:latin typeface="Bernard MT Condensed" panose="02050806060905020404" pitchFamily="18" charset="0"/>
              <a:ea typeface="+mn-ea"/>
              <a:cs typeface="+mn-cs"/>
            </a:endParaRPr>
          </a:p>
        </xdr:txBody>
      </xdr:sp>
      <xdr:sp macro="" textlink="">
        <xdr:nvSpPr>
          <xdr:cNvPr id="16" name="TextBox 15">
            <a:extLst>
              <a:ext uri="{FF2B5EF4-FFF2-40B4-BE49-F238E27FC236}">
                <a16:creationId xmlns:a16="http://schemas.microsoft.com/office/drawing/2014/main" id="{2DA2C54B-1C51-4EE5-A687-E3B6E99EB0AE}"/>
              </a:ext>
            </a:extLst>
          </xdr:cNvPr>
          <xdr:cNvSpPr txBox="1"/>
        </xdr:nvSpPr>
        <xdr:spPr>
          <a:xfrm>
            <a:off x="3686175" y="3419475"/>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Value</a:t>
            </a:r>
            <a:r>
              <a:rPr lang="en-US" sz="1800" baseline="0"/>
              <a:t> </a:t>
            </a:r>
            <a:r>
              <a:rPr lang="en-US" sz="1800"/>
              <a:t>Ach</a:t>
            </a:r>
            <a:r>
              <a:rPr lang="en-US" sz="1800" baseline="0"/>
              <a:t> %</a:t>
            </a:r>
            <a:endParaRPr lang="en-US" sz="1800"/>
          </a:p>
        </xdr:txBody>
      </xdr:sp>
      <xdr:sp macro="" textlink="pivot!B4">
        <xdr:nvSpPr>
          <xdr:cNvPr id="17" name="TextBox 16">
            <a:extLst>
              <a:ext uri="{FF2B5EF4-FFF2-40B4-BE49-F238E27FC236}">
                <a16:creationId xmlns:a16="http://schemas.microsoft.com/office/drawing/2014/main" id="{62B0A164-D3DB-4FC0-94C5-9A720D2E9B54}"/>
              </a:ext>
            </a:extLst>
          </xdr:cNvPr>
          <xdr:cNvSpPr txBox="1"/>
        </xdr:nvSpPr>
        <xdr:spPr>
          <a:xfrm>
            <a:off x="3419475" y="3810000"/>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9485ED-5FAB-4257-A307-60D917C5B03F}" type="TxLink">
              <a:rPr lang="en-US" sz="2400">
                <a:solidFill>
                  <a:schemeClr val="accent4">
                    <a:lumMod val="50000"/>
                  </a:schemeClr>
                </a:solidFill>
                <a:latin typeface="Bernard MT Condensed" panose="02050806060905020404" pitchFamily="18" charset="0"/>
                <a:ea typeface="+mn-ea"/>
                <a:cs typeface="+mn-cs"/>
              </a:rPr>
              <a:pPr marL="0" indent="0" algn="ctr"/>
              <a:t>102.3%</a:t>
            </a:fld>
            <a:endParaRPr lang="en-US" sz="2400">
              <a:solidFill>
                <a:schemeClr val="accent4">
                  <a:lumMod val="50000"/>
                </a:schemeClr>
              </a:solidFill>
              <a:latin typeface="Bernard MT Condensed" panose="02050806060905020404" pitchFamily="18" charset="0"/>
              <a:ea typeface="+mn-ea"/>
              <a:cs typeface="+mn-cs"/>
            </a:endParaRPr>
          </a:p>
        </xdr:txBody>
      </xdr:sp>
      <xdr:sp macro="" textlink="">
        <xdr:nvSpPr>
          <xdr:cNvPr id="18" name="Rectangle: Rounded Corners 17">
            <a:extLst>
              <a:ext uri="{FF2B5EF4-FFF2-40B4-BE49-F238E27FC236}">
                <a16:creationId xmlns:a16="http://schemas.microsoft.com/office/drawing/2014/main" id="{C7D2AC45-6BE4-4D18-B39B-4D1D087A7FAE}"/>
              </a:ext>
            </a:extLst>
          </xdr:cNvPr>
          <xdr:cNvSpPr/>
        </xdr:nvSpPr>
        <xdr:spPr>
          <a:xfrm>
            <a:off x="5667375" y="790575"/>
            <a:ext cx="2171700" cy="3933825"/>
          </a:xfrm>
          <a:prstGeom prst="roundRect">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A6DDC8A4-D31A-4F6F-B594-AC3EF8B911D7}"/>
              </a:ext>
            </a:extLst>
          </xdr:cNvPr>
          <xdr:cNvSpPr txBox="1"/>
        </xdr:nvSpPr>
        <xdr:spPr>
          <a:xfrm>
            <a:off x="6029325" y="1047750"/>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Call</a:t>
            </a:r>
            <a:r>
              <a:rPr lang="en-US" sz="1800" baseline="0"/>
              <a:t> </a:t>
            </a:r>
            <a:r>
              <a:rPr lang="en-US" sz="1800"/>
              <a:t>Target</a:t>
            </a:r>
          </a:p>
        </xdr:txBody>
      </xdr:sp>
      <xdr:sp macro="" textlink="pivot!E4">
        <xdr:nvSpPr>
          <xdr:cNvPr id="20" name="TextBox 19">
            <a:extLst>
              <a:ext uri="{FF2B5EF4-FFF2-40B4-BE49-F238E27FC236}">
                <a16:creationId xmlns:a16="http://schemas.microsoft.com/office/drawing/2014/main" id="{8655B720-F256-4D3B-8019-411E980467F7}"/>
              </a:ext>
            </a:extLst>
          </xdr:cNvPr>
          <xdr:cNvSpPr txBox="1"/>
        </xdr:nvSpPr>
        <xdr:spPr>
          <a:xfrm>
            <a:off x="5762625" y="1438275"/>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0F3F93-A426-47B1-A0A0-42767B4E4BE5}" type="TxLink">
              <a:rPr lang="en-US" sz="2400">
                <a:solidFill>
                  <a:schemeClr val="accent5">
                    <a:lumMod val="50000"/>
                  </a:schemeClr>
                </a:solidFill>
                <a:latin typeface="Bernard MT Condensed" panose="02050806060905020404" pitchFamily="18" charset="0"/>
                <a:ea typeface="+mn-ea"/>
                <a:cs typeface="+mn-cs"/>
              </a:rPr>
              <a:pPr marL="0" indent="0" algn="ctr"/>
              <a:t>57015</a:t>
            </a:fld>
            <a:endParaRPr lang="en-US" sz="2400">
              <a:solidFill>
                <a:schemeClr val="accent5">
                  <a:lumMod val="50000"/>
                </a:schemeClr>
              </a:solidFill>
              <a:latin typeface="Bernard MT Condensed" panose="02050806060905020404" pitchFamily="18" charset="0"/>
              <a:ea typeface="+mn-ea"/>
              <a:cs typeface="+mn-cs"/>
            </a:endParaRPr>
          </a:p>
        </xdr:txBody>
      </xdr:sp>
      <xdr:sp macro="" textlink="">
        <xdr:nvSpPr>
          <xdr:cNvPr id="21" name="TextBox 20">
            <a:extLst>
              <a:ext uri="{FF2B5EF4-FFF2-40B4-BE49-F238E27FC236}">
                <a16:creationId xmlns:a16="http://schemas.microsoft.com/office/drawing/2014/main" id="{15FD701F-4336-4D1E-9E98-367A7A328D15}"/>
              </a:ext>
            </a:extLst>
          </xdr:cNvPr>
          <xdr:cNvSpPr txBox="1"/>
        </xdr:nvSpPr>
        <xdr:spPr>
          <a:xfrm>
            <a:off x="6029325" y="2219325"/>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Effect. Call</a:t>
            </a:r>
          </a:p>
        </xdr:txBody>
      </xdr:sp>
      <xdr:sp macro="" textlink="pivot!G4">
        <xdr:nvSpPr>
          <xdr:cNvPr id="22" name="TextBox 21">
            <a:extLst>
              <a:ext uri="{FF2B5EF4-FFF2-40B4-BE49-F238E27FC236}">
                <a16:creationId xmlns:a16="http://schemas.microsoft.com/office/drawing/2014/main" id="{226E9A6B-88A4-4CB5-97F5-E343DBF6ACBA}"/>
              </a:ext>
            </a:extLst>
          </xdr:cNvPr>
          <xdr:cNvSpPr txBox="1"/>
        </xdr:nvSpPr>
        <xdr:spPr>
          <a:xfrm>
            <a:off x="5762625" y="2609850"/>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0D4319-F25D-412F-9E5D-5AF381AF202E}" type="TxLink">
              <a:rPr lang="en-US" sz="2400">
                <a:solidFill>
                  <a:srgbClr val="00B050"/>
                </a:solidFill>
                <a:latin typeface="Bernard MT Condensed" panose="02050806060905020404" pitchFamily="18" charset="0"/>
                <a:ea typeface="+mn-ea"/>
                <a:cs typeface="+mn-cs"/>
              </a:rPr>
              <a:pPr marL="0" indent="0" algn="ctr"/>
              <a:t>27412</a:t>
            </a:fld>
            <a:endParaRPr lang="en-US" sz="2400">
              <a:solidFill>
                <a:srgbClr val="00B050"/>
              </a:solidFill>
              <a:latin typeface="Bernard MT Condensed" panose="02050806060905020404" pitchFamily="18" charset="0"/>
              <a:ea typeface="+mn-ea"/>
              <a:cs typeface="+mn-cs"/>
            </a:endParaRPr>
          </a:p>
        </xdr:txBody>
      </xdr:sp>
      <xdr:sp macro="" textlink="">
        <xdr:nvSpPr>
          <xdr:cNvPr id="23" name="TextBox 22">
            <a:extLst>
              <a:ext uri="{FF2B5EF4-FFF2-40B4-BE49-F238E27FC236}">
                <a16:creationId xmlns:a16="http://schemas.microsoft.com/office/drawing/2014/main" id="{1E6D9B20-B77B-4FF4-9B50-7AC701C2CA7E}"/>
              </a:ext>
            </a:extLst>
          </xdr:cNvPr>
          <xdr:cNvSpPr txBox="1"/>
        </xdr:nvSpPr>
        <xdr:spPr>
          <a:xfrm>
            <a:off x="6019800" y="3429000"/>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aseline="0"/>
              <a:t>Productv. %</a:t>
            </a:r>
            <a:endParaRPr lang="en-US" sz="1800"/>
          </a:p>
        </xdr:txBody>
      </xdr:sp>
      <xdr:sp macro="" textlink="pivot!F4">
        <xdr:nvSpPr>
          <xdr:cNvPr id="24" name="TextBox 23">
            <a:extLst>
              <a:ext uri="{FF2B5EF4-FFF2-40B4-BE49-F238E27FC236}">
                <a16:creationId xmlns:a16="http://schemas.microsoft.com/office/drawing/2014/main" id="{A35BEC18-4867-4BDA-A0DB-32CD70DB4C3A}"/>
              </a:ext>
            </a:extLst>
          </xdr:cNvPr>
          <xdr:cNvSpPr txBox="1"/>
        </xdr:nvSpPr>
        <xdr:spPr>
          <a:xfrm>
            <a:off x="5753100" y="3819525"/>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88D6BC-6A4E-4D70-940C-F384AA7FD664}" type="TxLink">
              <a:rPr lang="en-US" sz="2400">
                <a:solidFill>
                  <a:schemeClr val="accent4">
                    <a:lumMod val="50000"/>
                  </a:schemeClr>
                </a:solidFill>
                <a:latin typeface="Bernard MT Condensed" panose="02050806060905020404" pitchFamily="18" charset="0"/>
                <a:ea typeface="+mn-ea"/>
                <a:cs typeface="+mn-cs"/>
              </a:rPr>
              <a:pPr marL="0" indent="0" algn="ctr"/>
              <a:t>48.1%</a:t>
            </a:fld>
            <a:endParaRPr lang="en-US" sz="2400">
              <a:solidFill>
                <a:schemeClr val="accent4">
                  <a:lumMod val="50000"/>
                </a:schemeClr>
              </a:solidFill>
              <a:latin typeface="Bernard MT Condensed" panose="02050806060905020404" pitchFamily="18" charset="0"/>
              <a:ea typeface="+mn-ea"/>
              <a:cs typeface="+mn-cs"/>
            </a:endParaRPr>
          </a:p>
        </xdr:txBody>
      </xdr:sp>
      <xdr:sp macro="" textlink="">
        <xdr:nvSpPr>
          <xdr:cNvPr id="25" name="Rectangle: Rounded Corners 24">
            <a:extLst>
              <a:ext uri="{FF2B5EF4-FFF2-40B4-BE49-F238E27FC236}">
                <a16:creationId xmlns:a16="http://schemas.microsoft.com/office/drawing/2014/main" id="{25CD6AD7-1804-4360-84E3-D2577CA4A293}"/>
              </a:ext>
            </a:extLst>
          </xdr:cNvPr>
          <xdr:cNvSpPr/>
        </xdr:nvSpPr>
        <xdr:spPr>
          <a:xfrm>
            <a:off x="7962900" y="809625"/>
            <a:ext cx="2171700" cy="3933825"/>
          </a:xfrm>
          <a:prstGeom prst="roundRect">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TextBox 25">
            <a:extLst>
              <a:ext uri="{FF2B5EF4-FFF2-40B4-BE49-F238E27FC236}">
                <a16:creationId xmlns:a16="http://schemas.microsoft.com/office/drawing/2014/main" id="{6A2C0872-1B01-4282-8328-C591C8536FFF}"/>
              </a:ext>
            </a:extLst>
          </xdr:cNvPr>
          <xdr:cNvSpPr txBox="1"/>
        </xdr:nvSpPr>
        <xdr:spPr>
          <a:xfrm>
            <a:off x="8324850" y="1066800"/>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Pmt. Target</a:t>
            </a:r>
          </a:p>
        </xdr:txBody>
      </xdr:sp>
      <xdr:sp macro="" textlink="pivot!I4">
        <xdr:nvSpPr>
          <xdr:cNvPr id="27" name="TextBox 26">
            <a:extLst>
              <a:ext uri="{FF2B5EF4-FFF2-40B4-BE49-F238E27FC236}">
                <a16:creationId xmlns:a16="http://schemas.microsoft.com/office/drawing/2014/main" id="{CBC81DEC-AFB3-43BE-8DD4-FBB764A34300}"/>
              </a:ext>
            </a:extLst>
          </xdr:cNvPr>
          <xdr:cNvSpPr txBox="1"/>
        </xdr:nvSpPr>
        <xdr:spPr>
          <a:xfrm>
            <a:off x="8058150" y="1457325"/>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02D2AF-C11E-4244-B8BC-51F97D5E7A4E}" type="TxLink">
              <a:rPr lang="en-US" sz="2400">
                <a:solidFill>
                  <a:schemeClr val="accent5">
                    <a:lumMod val="50000"/>
                  </a:schemeClr>
                </a:solidFill>
                <a:latin typeface="Bernard MT Condensed" panose="02050806060905020404" pitchFamily="18" charset="0"/>
                <a:ea typeface="+mn-ea"/>
                <a:cs typeface="+mn-cs"/>
              </a:rPr>
              <a:pPr marL="0" indent="0" algn="ctr"/>
              <a:t>18989</a:t>
            </a:fld>
            <a:endParaRPr lang="en-US" sz="2400">
              <a:solidFill>
                <a:schemeClr val="accent5">
                  <a:lumMod val="50000"/>
                </a:schemeClr>
              </a:solidFill>
              <a:latin typeface="Bernard MT Condensed" panose="02050806060905020404" pitchFamily="18" charset="0"/>
              <a:ea typeface="+mn-ea"/>
              <a:cs typeface="+mn-cs"/>
            </a:endParaRPr>
          </a:p>
        </xdr:txBody>
      </xdr:sp>
      <xdr:sp macro="" textlink="">
        <xdr:nvSpPr>
          <xdr:cNvPr id="28" name="TextBox 27">
            <a:extLst>
              <a:ext uri="{FF2B5EF4-FFF2-40B4-BE49-F238E27FC236}">
                <a16:creationId xmlns:a16="http://schemas.microsoft.com/office/drawing/2014/main" id="{941A6761-8967-4DC7-974C-865DBFF65345}"/>
              </a:ext>
            </a:extLst>
          </xdr:cNvPr>
          <xdr:cNvSpPr txBox="1"/>
        </xdr:nvSpPr>
        <xdr:spPr>
          <a:xfrm>
            <a:off x="8324850" y="2238375"/>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Pmt. Ach</a:t>
            </a:r>
          </a:p>
        </xdr:txBody>
      </xdr:sp>
      <xdr:sp macro="" textlink="pivot!K4">
        <xdr:nvSpPr>
          <xdr:cNvPr id="29" name="TextBox 28">
            <a:extLst>
              <a:ext uri="{FF2B5EF4-FFF2-40B4-BE49-F238E27FC236}">
                <a16:creationId xmlns:a16="http://schemas.microsoft.com/office/drawing/2014/main" id="{52FC4923-3D06-4C06-9F21-4EF395261518}"/>
              </a:ext>
            </a:extLst>
          </xdr:cNvPr>
          <xdr:cNvSpPr txBox="1"/>
        </xdr:nvSpPr>
        <xdr:spPr>
          <a:xfrm>
            <a:off x="8058150" y="2628900"/>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A60965-ADFB-4B6F-8003-282899096763}" type="TxLink">
              <a:rPr lang="en-US" sz="2400">
                <a:solidFill>
                  <a:srgbClr val="00B050"/>
                </a:solidFill>
                <a:latin typeface="Bernard MT Condensed" panose="02050806060905020404" pitchFamily="18" charset="0"/>
                <a:ea typeface="+mn-ea"/>
                <a:cs typeface="+mn-cs"/>
              </a:rPr>
              <a:pPr marL="0" indent="0" algn="ctr"/>
              <a:t>19382</a:t>
            </a:fld>
            <a:endParaRPr lang="en-US" sz="2400">
              <a:solidFill>
                <a:srgbClr val="00B050"/>
              </a:solidFill>
              <a:latin typeface="Bernard MT Condensed" panose="02050806060905020404" pitchFamily="18" charset="0"/>
              <a:ea typeface="+mn-ea"/>
              <a:cs typeface="+mn-cs"/>
            </a:endParaRPr>
          </a:p>
        </xdr:txBody>
      </xdr:sp>
      <xdr:sp macro="" textlink="">
        <xdr:nvSpPr>
          <xdr:cNvPr id="30" name="TextBox 29">
            <a:extLst>
              <a:ext uri="{FF2B5EF4-FFF2-40B4-BE49-F238E27FC236}">
                <a16:creationId xmlns:a16="http://schemas.microsoft.com/office/drawing/2014/main" id="{14E639DD-7EDE-482C-B667-7053D70D017C}"/>
              </a:ext>
            </a:extLst>
          </xdr:cNvPr>
          <xdr:cNvSpPr txBox="1"/>
        </xdr:nvSpPr>
        <xdr:spPr>
          <a:xfrm>
            <a:off x="8315325" y="3448050"/>
            <a:ext cx="1400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t>Pmt. Ach</a:t>
            </a:r>
            <a:r>
              <a:rPr lang="en-US" sz="1800" baseline="0"/>
              <a:t> %</a:t>
            </a:r>
            <a:endParaRPr lang="en-US" sz="1800"/>
          </a:p>
        </xdr:txBody>
      </xdr:sp>
      <xdr:sp macro="" textlink="pivot!J4">
        <xdr:nvSpPr>
          <xdr:cNvPr id="31" name="TextBox 30">
            <a:extLst>
              <a:ext uri="{FF2B5EF4-FFF2-40B4-BE49-F238E27FC236}">
                <a16:creationId xmlns:a16="http://schemas.microsoft.com/office/drawing/2014/main" id="{07D6AF2B-57E0-48D8-B7FF-52F4533037AD}"/>
              </a:ext>
            </a:extLst>
          </xdr:cNvPr>
          <xdr:cNvSpPr txBox="1"/>
        </xdr:nvSpPr>
        <xdr:spPr>
          <a:xfrm>
            <a:off x="8048625" y="3838575"/>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F0A5A6-9E1C-479D-B488-211FC9A9603A}" type="TxLink">
              <a:rPr lang="en-US" sz="2400">
                <a:solidFill>
                  <a:schemeClr val="accent4">
                    <a:lumMod val="50000"/>
                  </a:schemeClr>
                </a:solidFill>
                <a:latin typeface="Bernard MT Condensed" panose="02050806060905020404" pitchFamily="18" charset="0"/>
                <a:ea typeface="+mn-ea"/>
                <a:cs typeface="+mn-cs"/>
              </a:rPr>
              <a:pPr marL="0" indent="0" algn="ctr"/>
              <a:t>102.1%</a:t>
            </a:fld>
            <a:endParaRPr lang="en-US" sz="2400">
              <a:solidFill>
                <a:schemeClr val="accent4">
                  <a:lumMod val="50000"/>
                </a:schemeClr>
              </a:solidFill>
              <a:latin typeface="Bernard MT Condensed" panose="02050806060905020404" pitchFamily="18" charset="0"/>
              <a:ea typeface="+mn-ea"/>
              <a:cs typeface="+mn-cs"/>
            </a:endParaRPr>
          </a:p>
        </xdr:txBody>
      </xdr:sp>
      <xdr:sp macro="" textlink="">
        <xdr:nvSpPr>
          <xdr:cNvPr id="32" name="TextBox 31">
            <a:extLst>
              <a:ext uri="{FF2B5EF4-FFF2-40B4-BE49-F238E27FC236}">
                <a16:creationId xmlns:a16="http://schemas.microsoft.com/office/drawing/2014/main" id="{5F4DC00F-92E6-44B1-B0EF-B3404F2BF34A}"/>
              </a:ext>
            </a:extLst>
          </xdr:cNvPr>
          <xdr:cNvSpPr txBox="1"/>
        </xdr:nvSpPr>
        <xdr:spPr>
          <a:xfrm>
            <a:off x="10534650" y="1019175"/>
            <a:ext cx="1400175"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accent2">
                    <a:lumMod val="20000"/>
                    <a:lumOff val="80000"/>
                  </a:schemeClr>
                </a:solidFill>
                <a:latin typeface="Bernard MT Condensed" panose="02050806060905020404" pitchFamily="18" charset="0"/>
              </a:rPr>
              <a:t>Performance</a:t>
            </a:r>
            <a:r>
              <a:rPr lang="en-US" sz="1800" baseline="0">
                <a:solidFill>
                  <a:schemeClr val="accent2">
                    <a:lumMod val="20000"/>
                    <a:lumOff val="80000"/>
                  </a:schemeClr>
                </a:solidFill>
                <a:latin typeface="Bernard MT Condensed" panose="02050806060905020404" pitchFamily="18" charset="0"/>
              </a:rPr>
              <a:t> Score</a:t>
            </a:r>
            <a:endParaRPr lang="en-US" sz="1800">
              <a:solidFill>
                <a:schemeClr val="accent2">
                  <a:lumMod val="20000"/>
                  <a:lumOff val="80000"/>
                </a:schemeClr>
              </a:solidFill>
              <a:latin typeface="Bernard MT Condensed" panose="02050806060905020404" pitchFamily="18" charset="0"/>
            </a:endParaRPr>
          </a:p>
        </xdr:txBody>
      </xdr:sp>
      <xdr:sp macro="" textlink="">
        <xdr:nvSpPr>
          <xdr:cNvPr id="33" name="Decagon 32">
            <a:extLst>
              <a:ext uri="{FF2B5EF4-FFF2-40B4-BE49-F238E27FC236}">
                <a16:creationId xmlns:a16="http://schemas.microsoft.com/office/drawing/2014/main" id="{6270D349-E36E-B73A-A5D3-187407DB6623}"/>
              </a:ext>
            </a:extLst>
          </xdr:cNvPr>
          <xdr:cNvSpPr/>
        </xdr:nvSpPr>
        <xdr:spPr>
          <a:xfrm>
            <a:off x="10248900" y="1971675"/>
            <a:ext cx="1971675" cy="2095500"/>
          </a:xfrm>
          <a:prstGeom prst="decagon">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M4">
        <xdr:nvSpPr>
          <xdr:cNvPr id="34" name="TextBox 33">
            <a:extLst>
              <a:ext uri="{FF2B5EF4-FFF2-40B4-BE49-F238E27FC236}">
                <a16:creationId xmlns:a16="http://schemas.microsoft.com/office/drawing/2014/main" id="{FD477214-3215-42C7-ACF2-534961E11451}"/>
              </a:ext>
            </a:extLst>
          </xdr:cNvPr>
          <xdr:cNvSpPr txBox="1"/>
        </xdr:nvSpPr>
        <xdr:spPr>
          <a:xfrm>
            <a:off x="10306050" y="2686050"/>
            <a:ext cx="19049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8CE9DBA-BFC8-4E5C-9734-0FCE87B8B053}" type="TxLink">
              <a:rPr lang="en-US" sz="2400">
                <a:solidFill>
                  <a:schemeClr val="accent5">
                    <a:lumMod val="50000"/>
                  </a:schemeClr>
                </a:solidFill>
                <a:latin typeface="Bernard MT Condensed" panose="02050806060905020404" pitchFamily="18" charset="0"/>
                <a:ea typeface="+mn-ea"/>
                <a:cs typeface="+mn-cs"/>
              </a:rPr>
              <a:pPr marL="0" indent="0" algn="ctr"/>
              <a:t>93.6%</a:t>
            </a:fld>
            <a:endParaRPr lang="en-US" sz="2400">
              <a:solidFill>
                <a:schemeClr val="accent5">
                  <a:lumMod val="50000"/>
                </a:schemeClr>
              </a:solidFill>
              <a:latin typeface="Bernard MT Condensed" panose="02050806060905020404" pitchFamily="18" charset="0"/>
              <a:ea typeface="+mn-ea"/>
              <a:cs typeface="+mn-cs"/>
            </a:endParaRPr>
          </a:p>
        </xdr:txBody>
      </xdr:sp>
      <xdr:sp macro="" textlink="pivot!O4">
        <xdr:nvSpPr>
          <xdr:cNvPr id="35" name="TextBox 34">
            <a:extLst>
              <a:ext uri="{FF2B5EF4-FFF2-40B4-BE49-F238E27FC236}">
                <a16:creationId xmlns:a16="http://schemas.microsoft.com/office/drawing/2014/main" id="{8C808C5F-DABF-4D31-A60E-24F1C514272B}"/>
              </a:ext>
            </a:extLst>
          </xdr:cNvPr>
          <xdr:cNvSpPr txBox="1"/>
        </xdr:nvSpPr>
        <xdr:spPr>
          <a:xfrm>
            <a:off x="10439400" y="3228975"/>
            <a:ext cx="16382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AF7D06-F4C7-43CA-B548-4E20CC966CEB}" type="TxLink">
              <a:rPr lang="en-US" sz="2000" b="0" i="0" u="none" strike="noStrike">
                <a:solidFill>
                  <a:srgbClr val="000000"/>
                </a:solidFill>
                <a:latin typeface="Calibri"/>
                <a:cs typeface="Calibri"/>
              </a:rPr>
              <a:pPr algn="ctr"/>
              <a:t>Good 🙂</a:t>
            </a:fld>
            <a:endParaRPr lang="en-US" sz="3600"/>
          </a:p>
        </xdr:txBody>
      </xdr:sp>
      <xdr:pic macro="[0]!refresh">
        <xdr:nvPicPr>
          <xdr:cNvPr id="37" name="Picture 36">
            <a:extLst>
              <a:ext uri="{FF2B5EF4-FFF2-40B4-BE49-F238E27FC236}">
                <a16:creationId xmlns:a16="http://schemas.microsoft.com/office/drawing/2014/main" id="{8A244BE6-7965-6A1A-D692-B671E67F55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0050" y="66675"/>
            <a:ext cx="1143160" cy="543001"/>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ok" refreshedDate="45441.625496180553" createdVersion="8" refreshedVersion="8" minRefreshableVersion="3" recordCount="77" xr:uid="{5FEF3AEC-4EB4-4E14-BB42-9E0ED0333D75}">
  <cacheSource type="worksheet">
    <worksheetSource name="autoupdatesource"/>
  </cacheSource>
  <cacheFields count="14">
    <cacheField name="Month" numFmtId="164">
      <sharedItems containsSemiMixedTypes="0" containsNonDate="0" containsDate="1" containsString="0" minDate="2024-01-31T00:00:00" maxDate="2024-09-01T00:00:00" count="8">
        <d v="2024-01-31T00:00:00"/>
        <d v="2024-02-28T00:00:00"/>
        <d v="2024-03-30T00:00:00"/>
        <d v="2024-04-30T00:00:00"/>
        <d v="2024-05-30T00:00:00"/>
        <d v="2024-06-30T00:00:00"/>
        <d v="2024-07-30T00:00:00"/>
        <d v="2024-08-31T00:00:00" u="1"/>
      </sharedItems>
    </cacheField>
    <cacheField name="Department Head" numFmtId="0">
      <sharedItems count="2">
        <s v="Madison"/>
        <s v="Jemma"/>
      </sharedItems>
    </cacheField>
    <cacheField name="Sales Manager" numFmtId="9">
      <sharedItems count="4">
        <s v="Tanner"/>
        <s v="Edward"/>
        <s v="Wyatt"/>
        <s v="Harrison"/>
      </sharedItems>
    </cacheField>
    <cacheField name="Sales Reps" numFmtId="0">
      <sharedItems count="11">
        <s v="Jack"/>
        <s v="Olivia"/>
        <s v="Emma"/>
        <s v="Sophia"/>
        <s v="James"/>
        <s v="Henry"/>
        <s v="Lily"/>
        <s v="Mila"/>
        <s v="Jackson"/>
        <s v="Daniel"/>
        <s v="Elena"/>
      </sharedItems>
    </cacheField>
    <cacheField name="Value Target ('000)" numFmtId="0">
      <sharedItems containsSemiMixedTypes="0" containsString="0" containsNumber="1" containsInteger="1" minValue="151" maxValue="299"/>
    </cacheField>
    <cacheField name="Value Ach ('000)" numFmtId="0">
      <sharedItems containsSemiMixedTypes="0" containsString="0" containsNumber="1" containsInteger="1" minValue="100" maxValue="348"/>
    </cacheField>
    <cacheField name="V. Ach %" numFmtId="165">
      <sharedItems containsSemiMixedTypes="0" containsString="0" containsNumber="1" minValue="0.45387453874538747" maxValue="1.9873417721518987"/>
    </cacheField>
    <cacheField name="Call Plan" numFmtId="0">
      <sharedItems containsSemiMixedTypes="0" containsString="0" containsNumber="1" containsInteger="1" minValue="700" maxValue="780"/>
    </cacheField>
    <cacheField name="Effective Call" numFmtId="0">
      <sharedItems containsSemiMixedTypes="0" containsString="0" containsNumber="1" containsInteger="1" minValue="321" maxValue="399"/>
    </cacheField>
    <cacheField name="Productivity %" numFmtId="9">
      <sharedItems containsSemiMixedTypes="0" containsString="0" containsNumber="1" minValue="0.41410256410256413" maxValue="0.56000000000000005"/>
    </cacheField>
    <cacheField name="Pmt. Collecion Target" numFmtId="0">
      <sharedItems containsSemiMixedTypes="0" containsString="0" containsNumber="1" containsInteger="1" minValue="200" maxValue="300"/>
    </cacheField>
    <cacheField name="Collection Ach" numFmtId="0">
      <sharedItems containsSemiMixedTypes="0" containsString="0" containsNumber="1" containsInteger="1" minValue="200" maxValue="300"/>
    </cacheField>
    <cacheField name="C. Ach %" numFmtId="9">
      <sharedItems containsSemiMixedTypes="0" containsString="0" containsNumber="1" minValue="0.6912751677852349" maxValue="1.4801980198019802"/>
    </cacheField>
    <cacheField name="Performace Score" numFmtId="165">
      <sharedItems containsSemiMixedTypes="0" containsString="0" containsNumber="1" minValue="0.61924014130199689" maxValue="1.4260750262782547"/>
    </cacheField>
  </cacheFields>
  <extLst>
    <ext xmlns:x14="http://schemas.microsoft.com/office/spreadsheetml/2009/9/main" uri="{725AE2AE-9491-48be-B2B4-4EB974FC3084}">
      <x14:pivotCacheDefinition pivotCacheId="6018662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x v="0"/>
    <x v="0"/>
    <x v="0"/>
    <x v="0"/>
    <n v="211"/>
    <n v="282"/>
    <n v="1.3364928909952607"/>
    <n v="750"/>
    <n v="330"/>
    <n v="0.44"/>
    <n v="247"/>
    <n v="231"/>
    <n v="0.93522267206477738"/>
    <n v="1.0368132471170635"/>
  </r>
  <r>
    <x v="0"/>
    <x v="0"/>
    <x v="0"/>
    <x v="1"/>
    <n v="288"/>
    <n v="170"/>
    <n v="0.59027777777777779"/>
    <n v="740"/>
    <n v="323"/>
    <n v="0.43648648648648647"/>
    <n v="202"/>
    <n v="299"/>
    <n v="1.4801980198019802"/>
    <n v="0.82649559212678025"/>
  </r>
  <r>
    <x v="0"/>
    <x v="0"/>
    <x v="1"/>
    <x v="2"/>
    <n v="161"/>
    <n v="259"/>
    <n v="1.6086956521739131"/>
    <n v="780"/>
    <n v="361"/>
    <n v="0.46282051282051284"/>
    <n v="291"/>
    <n v="276"/>
    <n v="0.94845360824742264"/>
    <n v="1.1814480111252861"/>
  </r>
  <r>
    <x v="0"/>
    <x v="0"/>
    <x v="1"/>
    <x v="3"/>
    <n v="242"/>
    <n v="262"/>
    <n v="1.0826446280991735"/>
    <n v="760"/>
    <n v="366"/>
    <n v="0.48157894736842105"/>
    <n v="272"/>
    <n v="213"/>
    <n v="0.78308823529411764"/>
    <n v="0.87256457411150623"/>
  </r>
  <r>
    <x v="0"/>
    <x v="1"/>
    <x v="2"/>
    <x v="4"/>
    <n v="164"/>
    <n v="184"/>
    <n v="1.1219512195121952"/>
    <n v="730"/>
    <n v="321"/>
    <n v="0.4397260273972603"/>
    <n v="236"/>
    <n v="237"/>
    <n v="1.0042372881355932"/>
    <n v="0.95019200167622764"/>
  </r>
  <r>
    <x v="0"/>
    <x v="1"/>
    <x v="2"/>
    <x v="5"/>
    <n v="216"/>
    <n v="118"/>
    <n v="0.54629629629629628"/>
    <n v="750"/>
    <n v="360"/>
    <n v="0.48"/>
    <n v="245"/>
    <n v="289"/>
    <n v="1.1795918367346938"/>
    <n v="0.72302569916855619"/>
  </r>
  <r>
    <x v="0"/>
    <x v="1"/>
    <x v="2"/>
    <x v="6"/>
    <n v="257"/>
    <n v="294"/>
    <n v="1.1439688715953307"/>
    <n v="700"/>
    <n v="392"/>
    <n v="0.56000000000000005"/>
    <n v="294"/>
    <n v="285"/>
    <n v="0.96938775510204078"/>
    <n v="0.9748007623282775"/>
  </r>
  <r>
    <x v="0"/>
    <x v="1"/>
    <x v="3"/>
    <x v="7"/>
    <n v="181"/>
    <n v="230"/>
    <n v="1.270718232044199"/>
    <n v="735"/>
    <n v="360"/>
    <n v="0.48979591836734693"/>
    <n v="297"/>
    <n v="294"/>
    <n v="0.98989898989898994"/>
    <n v="1.0302879966652658"/>
  </r>
  <r>
    <x v="0"/>
    <x v="1"/>
    <x v="3"/>
    <x v="8"/>
    <n v="193"/>
    <n v="186"/>
    <n v="0.96373056994818651"/>
    <n v="765"/>
    <n v="399"/>
    <n v="0.52156862745098043"/>
    <n v="216"/>
    <n v="271"/>
    <n v="1.2546296296296295"/>
    <n v="0.9625678993531781"/>
  </r>
  <r>
    <x v="0"/>
    <x v="1"/>
    <x v="3"/>
    <x v="9"/>
    <n v="194"/>
    <n v="100"/>
    <n v="0.51546391752577314"/>
    <n v="715"/>
    <n v="371"/>
    <n v="0.51888111888111887"/>
    <n v="291"/>
    <n v="250"/>
    <n v="0.85910652920962194"/>
    <n v="0.61924014130199689"/>
  </r>
  <r>
    <x v="0"/>
    <x v="1"/>
    <x v="3"/>
    <x v="10"/>
    <n v="251"/>
    <n v="297"/>
    <n v="1.1832669322709164"/>
    <n v="720"/>
    <n v="339"/>
    <n v="0.47083333333333333"/>
    <n v="213"/>
    <n v="235"/>
    <n v="1.1032863849765258"/>
    <n v="1.0167860482950826"/>
  </r>
  <r>
    <x v="1"/>
    <x v="0"/>
    <x v="0"/>
    <x v="0"/>
    <n v="278"/>
    <n v="348"/>
    <n v="1.2517985611510791"/>
    <n v="750"/>
    <n v="368"/>
    <n v="0.49066666666666664"/>
    <n v="228"/>
    <n v="257"/>
    <n v="1.1271929824561404"/>
    <n v="1.0621905086457151"/>
  </r>
  <r>
    <x v="1"/>
    <x v="0"/>
    <x v="0"/>
    <x v="1"/>
    <n v="191"/>
    <n v="230"/>
    <n v="1.2041884816753927"/>
    <n v="740"/>
    <n v="327"/>
    <n v="0.44189189189189187"/>
    <n v="221"/>
    <n v="261"/>
    <n v="1.1809954751131222"/>
    <n v="1.0447712617500113"/>
  </r>
  <r>
    <x v="1"/>
    <x v="0"/>
    <x v="1"/>
    <x v="2"/>
    <n v="297"/>
    <n v="211"/>
    <n v="0.71043771043771042"/>
    <n v="780"/>
    <n v="323"/>
    <n v="0.41410256410256413"/>
    <n v="208"/>
    <n v="241"/>
    <n v="1.1586538461538463"/>
    <n v="0.78563552188552199"/>
  </r>
  <r>
    <x v="1"/>
    <x v="0"/>
    <x v="1"/>
    <x v="3"/>
    <n v="191"/>
    <n v="219"/>
    <n v="1.1465968586387434"/>
    <n v="760"/>
    <n v="334"/>
    <n v="0.43947368421052629"/>
    <n v="280"/>
    <n v="284"/>
    <n v="1.0142857142857142"/>
    <n v="0.96547888044719121"/>
  </r>
  <r>
    <x v="1"/>
    <x v="1"/>
    <x v="2"/>
    <x v="4"/>
    <n v="184"/>
    <n v="174"/>
    <n v="0.94565217391304346"/>
    <n v="730"/>
    <n v="381"/>
    <n v="0.5219178082191781"/>
    <n v="281"/>
    <n v="297"/>
    <n v="1.0569395017793595"/>
    <n v="0.89429149913416528"/>
  </r>
  <r>
    <x v="1"/>
    <x v="1"/>
    <x v="2"/>
    <x v="5"/>
    <n v="221"/>
    <n v="290"/>
    <n v="1.3122171945701357"/>
    <n v="750"/>
    <n v="361"/>
    <n v="0.48133333333333334"/>
    <n v="281"/>
    <n v="272"/>
    <n v="0.96797153024911031"/>
    <n v="1.0427667230264674"/>
  </r>
  <r>
    <x v="1"/>
    <x v="1"/>
    <x v="2"/>
    <x v="6"/>
    <n v="217"/>
    <n v="114"/>
    <n v="0.52534562211981561"/>
    <n v="700"/>
    <n v="335"/>
    <n v="0.47857142857142859"/>
    <n v="203"/>
    <n v="274"/>
    <n v="1.3497536945812807"/>
    <n v="0.76331320514857781"/>
  </r>
  <r>
    <x v="1"/>
    <x v="1"/>
    <x v="3"/>
    <x v="7"/>
    <n v="286"/>
    <n v="193"/>
    <n v="0.67482517482517479"/>
    <n v="735"/>
    <n v="357"/>
    <n v="0.48571428571428571"/>
    <n v="232"/>
    <n v="274"/>
    <n v="1.1810344827586208"/>
    <n v="0.78886578938303076"/>
  </r>
  <r>
    <x v="1"/>
    <x v="1"/>
    <x v="3"/>
    <x v="8"/>
    <n v="260"/>
    <n v="277"/>
    <n v="1.0653846153846154"/>
    <n v="765"/>
    <n v="331"/>
    <n v="0.43267973856209152"/>
    <n v="271"/>
    <n v="204"/>
    <n v="0.75276752767527677"/>
    <n v="0.845058513707309"/>
  </r>
  <r>
    <x v="1"/>
    <x v="1"/>
    <x v="3"/>
    <x v="9"/>
    <n v="187"/>
    <n v="139"/>
    <n v="0.74331550802139035"/>
    <n v="715"/>
    <n v="375"/>
    <n v="0.52447552447552448"/>
    <n v="240"/>
    <n v="252"/>
    <n v="1.05"/>
    <n v="0.79155285890580007"/>
  </r>
  <r>
    <x v="1"/>
    <x v="1"/>
    <x v="3"/>
    <x v="10"/>
    <n v="186"/>
    <n v="243"/>
    <n v="1.3064516129032258"/>
    <n v="720"/>
    <n v="359"/>
    <n v="0.49861111111111112"/>
    <n v="238"/>
    <n v="276"/>
    <n v="1.1596638655462186"/>
    <n v="1.1008471883377007"/>
  </r>
  <r>
    <x v="2"/>
    <x v="0"/>
    <x v="0"/>
    <x v="0"/>
    <n v="207"/>
    <n v="269"/>
    <n v="1.2995169082125604"/>
    <n v="750"/>
    <n v="388"/>
    <n v="0.51733333333333331"/>
    <n v="237"/>
    <n v="207"/>
    <n v="0.87341772151898733"/>
    <n v="1.0152504372286431"/>
  </r>
  <r>
    <x v="2"/>
    <x v="0"/>
    <x v="0"/>
    <x v="1"/>
    <n v="186"/>
    <n v="219"/>
    <n v="1.1774193548387097"/>
    <n v="740"/>
    <n v="352"/>
    <n v="0.4756756756756757"/>
    <n v="287"/>
    <n v="251"/>
    <n v="0.87456445993031362"/>
    <n v="0.94621415053358415"/>
  </r>
  <r>
    <x v="2"/>
    <x v="0"/>
    <x v="1"/>
    <x v="2"/>
    <n v="263"/>
    <n v="228"/>
    <n v="0.86692015209125473"/>
    <n v="780"/>
    <n v="344"/>
    <n v="0.44102564102564101"/>
    <n v="219"/>
    <n v="260"/>
    <n v="1.1872146118721461"/>
    <n v="0.87782958781239939"/>
  </r>
  <r>
    <x v="2"/>
    <x v="0"/>
    <x v="1"/>
    <x v="3"/>
    <n v="199"/>
    <n v="210"/>
    <n v="1.0552763819095476"/>
    <n v="760"/>
    <n v="399"/>
    <n v="0.52500000000000002"/>
    <n v="280"/>
    <n v="249"/>
    <n v="0.88928571428571423"/>
    <n v="0.89942390524048799"/>
  </r>
  <r>
    <x v="2"/>
    <x v="1"/>
    <x v="2"/>
    <x v="4"/>
    <n v="229"/>
    <n v="202"/>
    <n v="0.88209606986899558"/>
    <n v="730"/>
    <n v="351"/>
    <n v="0.4808219178082192"/>
    <n v="263"/>
    <n v="284"/>
    <n v="1.0798479087452471"/>
    <n v="0.86116679111971584"/>
  </r>
  <r>
    <x v="2"/>
    <x v="1"/>
    <x v="2"/>
    <x v="5"/>
    <n v="271"/>
    <n v="123"/>
    <n v="0.45387453874538747"/>
    <n v="750"/>
    <n v="362"/>
    <n v="0.48266666666666669"/>
    <n v="206"/>
    <n v="241"/>
    <n v="1.1699029126213591"/>
    <n v="0.6744414764924348"/>
  </r>
  <r>
    <x v="2"/>
    <x v="1"/>
    <x v="2"/>
    <x v="6"/>
    <n v="222"/>
    <n v="177"/>
    <n v="0.79729729729729726"/>
    <n v="700"/>
    <n v="324"/>
    <n v="0.46285714285714286"/>
    <n v="205"/>
    <n v="206"/>
    <n v="1.0048780487804878"/>
    <n v="0.7926834918542236"/>
  </r>
  <r>
    <x v="2"/>
    <x v="1"/>
    <x v="3"/>
    <x v="7"/>
    <n v="186"/>
    <n v="146"/>
    <n v="0.78494623655913975"/>
    <n v="735"/>
    <n v="358"/>
    <n v="0.48707482993197276"/>
    <n v="295"/>
    <n v="248"/>
    <n v="0.84067796610169487"/>
    <n v="0.7420914740964728"/>
  </r>
  <r>
    <x v="2"/>
    <x v="1"/>
    <x v="3"/>
    <x v="8"/>
    <n v="295"/>
    <n v="259"/>
    <n v="0.87796610169491529"/>
    <n v="765"/>
    <n v="367"/>
    <n v="0.47973856209150328"/>
    <n v="235"/>
    <n v="214"/>
    <n v="0.91063829787234041"/>
    <n v="0.8081222526274604"/>
  </r>
  <r>
    <x v="2"/>
    <x v="1"/>
    <x v="3"/>
    <x v="9"/>
    <n v="262"/>
    <n v="170"/>
    <n v="0.64885496183206104"/>
    <n v="715"/>
    <n v="323"/>
    <n v="0.45174825174825173"/>
    <n v="206"/>
    <n v="215"/>
    <n v="1.0436893203883495"/>
    <n v="0.72788392738218577"/>
  </r>
  <r>
    <x v="2"/>
    <x v="1"/>
    <x v="3"/>
    <x v="10"/>
    <n v="286"/>
    <n v="342"/>
    <n v="1.1958041958041958"/>
    <n v="720"/>
    <n v="331"/>
    <n v="0.4597222222222222"/>
    <n v="217"/>
    <n v="292"/>
    <n v="1.3456221198156681"/>
    <n v="1.0935331782912427"/>
  </r>
  <r>
    <x v="3"/>
    <x v="0"/>
    <x v="0"/>
    <x v="0"/>
    <n v="190"/>
    <n v="121"/>
    <n v="0.63684210526315788"/>
    <n v="750"/>
    <n v="382"/>
    <n v="0.5093333333333333"/>
    <n v="209"/>
    <n v="200"/>
    <n v="0.9569377990430622"/>
    <n v="0.70736905901116431"/>
  </r>
  <r>
    <x v="3"/>
    <x v="0"/>
    <x v="0"/>
    <x v="1"/>
    <n v="181"/>
    <n v="291"/>
    <n v="1.6077348066298343"/>
    <n v="740"/>
    <n v="330"/>
    <n v="0.44594594594594594"/>
    <n v="262"/>
    <n v="230"/>
    <n v="0.87786259541984735"/>
    <n v="1.1564153711300604"/>
  </r>
  <r>
    <x v="3"/>
    <x v="0"/>
    <x v="1"/>
    <x v="2"/>
    <n v="201"/>
    <n v="150"/>
    <n v="0.74626865671641796"/>
    <n v="780"/>
    <n v="392"/>
    <n v="0.50256410256410255"/>
    <n v="259"/>
    <n v="233"/>
    <n v="0.89961389961389959"/>
    <n v="0.74353131875519929"/>
  </r>
  <r>
    <x v="3"/>
    <x v="0"/>
    <x v="1"/>
    <x v="3"/>
    <n v="151"/>
    <n v="240"/>
    <n v="1.5894039735099337"/>
    <n v="760"/>
    <n v="364"/>
    <n v="0.47894736842105262"/>
    <n v="243"/>
    <n v="289"/>
    <n v="1.1893004115226338"/>
    <n v="1.2472815838959674"/>
  </r>
  <r>
    <x v="3"/>
    <x v="1"/>
    <x v="2"/>
    <x v="4"/>
    <n v="209"/>
    <n v="282"/>
    <n v="1.3492822966507176"/>
    <n v="730"/>
    <n v="385"/>
    <n v="0.5273972602739726"/>
    <n v="268"/>
    <n v="226"/>
    <n v="0.84328358208955223"/>
    <n v="1.0331056750070189"/>
  </r>
  <r>
    <x v="3"/>
    <x v="1"/>
    <x v="2"/>
    <x v="5"/>
    <n v="152"/>
    <n v="214"/>
    <n v="1.4078947368421053"/>
    <n v="750"/>
    <n v="369"/>
    <n v="0.49199999999999999"/>
    <n v="280"/>
    <n v="217"/>
    <n v="0.77500000000000002"/>
    <n v="1.0348473684210526"/>
  </r>
  <r>
    <x v="3"/>
    <x v="1"/>
    <x v="2"/>
    <x v="6"/>
    <n v="285"/>
    <n v="286"/>
    <n v="1.0035087719298246"/>
    <n v="700"/>
    <n v="357"/>
    <n v="0.51"/>
    <n v="243"/>
    <n v="247"/>
    <n v="1.0164609053497942"/>
    <n v="0.90869265756985051"/>
  </r>
  <r>
    <x v="3"/>
    <x v="1"/>
    <x v="3"/>
    <x v="7"/>
    <n v="162"/>
    <n v="226"/>
    <n v="1.3950617283950617"/>
    <n v="735"/>
    <n v="330"/>
    <n v="0.44897959183673469"/>
    <n v="241"/>
    <n v="279"/>
    <n v="1.1576763485477179"/>
    <n v="1.1346296871291932"/>
  </r>
  <r>
    <x v="3"/>
    <x v="1"/>
    <x v="3"/>
    <x v="8"/>
    <n v="186"/>
    <n v="317"/>
    <n v="1.7043010752688172"/>
    <n v="765"/>
    <n v="331"/>
    <n v="0.43267973856209152"/>
    <n v="220"/>
    <n v="206"/>
    <n v="0.9363636363636364"/>
    <n v="1.2195955762559179"/>
  </r>
  <r>
    <x v="3"/>
    <x v="1"/>
    <x v="3"/>
    <x v="9"/>
    <n v="244"/>
    <n v="343"/>
    <n v="1.4057377049180328"/>
    <n v="715"/>
    <n v="326"/>
    <n v="0.45594405594405596"/>
    <n v="200"/>
    <n v="276"/>
    <n v="1.38"/>
    <n v="1.2080576636478275"/>
  </r>
  <r>
    <x v="3"/>
    <x v="1"/>
    <x v="3"/>
    <x v="10"/>
    <n v="174"/>
    <n v="254"/>
    <n v="1.4597701149425288"/>
    <n v="720"/>
    <n v="399"/>
    <n v="0.5541666666666667"/>
    <n v="221"/>
    <n v="203"/>
    <n v="0.91855203619909498"/>
    <n v="1.1162840016643263"/>
  </r>
  <r>
    <x v="4"/>
    <x v="0"/>
    <x v="0"/>
    <x v="0"/>
    <n v="290"/>
    <n v="161"/>
    <n v="0.55517241379310345"/>
    <n v="750"/>
    <n v="344"/>
    <n v="0.45866666666666667"/>
    <n v="298"/>
    <n v="263"/>
    <n v="0.8825503355704698"/>
    <n v="0.63408464090102601"/>
  </r>
  <r>
    <x v="4"/>
    <x v="0"/>
    <x v="0"/>
    <x v="1"/>
    <n v="252"/>
    <n v="261"/>
    <n v="1.0357142857142858"/>
    <n v="740"/>
    <n v="357"/>
    <n v="0.48243243243243245"/>
    <n v="237"/>
    <n v="240"/>
    <n v="1.0126582278481013"/>
    <n v="0.91814109769805974"/>
  </r>
  <r>
    <x v="4"/>
    <x v="0"/>
    <x v="1"/>
    <x v="2"/>
    <n v="171"/>
    <n v="225"/>
    <n v="1.3157894736842106"/>
    <n v="780"/>
    <n v="328"/>
    <n v="0.42051282051282052"/>
    <n v="269"/>
    <n v="231"/>
    <n v="0.85873605947955389"/>
    <n v="0.99961811878853557"/>
  </r>
  <r>
    <x v="4"/>
    <x v="0"/>
    <x v="1"/>
    <x v="3"/>
    <n v="205"/>
    <n v="195"/>
    <n v="0.95121951219512191"/>
    <n v="760"/>
    <n v="386"/>
    <n v="0.50789473684210529"/>
    <n v="250"/>
    <n v="286"/>
    <n v="1.1439999999999999"/>
    <n v="0.92038870346598201"/>
  </r>
  <r>
    <x v="4"/>
    <x v="1"/>
    <x v="2"/>
    <x v="4"/>
    <n v="227"/>
    <n v="187"/>
    <n v="0.82378854625550657"/>
    <n v="730"/>
    <n v="364"/>
    <n v="0.49863013698630138"/>
    <n v="253"/>
    <n v="284"/>
    <n v="1.1225296442687747"/>
    <n v="0.84837919380564597"/>
  </r>
  <r>
    <x v="4"/>
    <x v="1"/>
    <x v="2"/>
    <x v="5"/>
    <n v="298"/>
    <n v="168"/>
    <n v="0.56375838926174493"/>
    <n v="750"/>
    <n v="367"/>
    <n v="0.48933333333333334"/>
    <n v="290"/>
    <n v="262"/>
    <n v="0.90344827586206899"/>
    <n v="0.65078034405615981"/>
  </r>
  <r>
    <x v="4"/>
    <x v="1"/>
    <x v="2"/>
    <x v="6"/>
    <n v="231"/>
    <n v="209"/>
    <n v="0.90476190476190477"/>
    <n v="700"/>
    <n v="339"/>
    <n v="0.48428571428571426"/>
    <n v="281"/>
    <n v="250"/>
    <n v="0.88967971530249113"/>
    <n v="0.81614200982884255"/>
  </r>
  <r>
    <x v="4"/>
    <x v="1"/>
    <x v="3"/>
    <x v="7"/>
    <n v="204"/>
    <n v="201"/>
    <n v="0.98529411764705888"/>
    <n v="735"/>
    <n v="347"/>
    <n v="0.47210884353741495"/>
    <n v="245"/>
    <n v="300"/>
    <n v="1.2244897959183674"/>
    <n v="0.95441576630652269"/>
  </r>
  <r>
    <x v="4"/>
    <x v="1"/>
    <x v="3"/>
    <x v="8"/>
    <n v="201"/>
    <n v="283"/>
    <n v="1.407960199004975"/>
    <n v="765"/>
    <n v="368"/>
    <n v="0.48104575163398694"/>
    <n v="233"/>
    <n v="281"/>
    <n v="1.2060085836909871"/>
    <n v="1.161991824936581"/>
  </r>
  <r>
    <x v="4"/>
    <x v="1"/>
    <x v="3"/>
    <x v="9"/>
    <n v="261"/>
    <n v="278"/>
    <n v="1.0651340996168583"/>
    <n v="715"/>
    <n v="377"/>
    <n v="0.52727272727272723"/>
    <n v="206"/>
    <n v="258"/>
    <n v="1.2524271844660195"/>
    <n v="1.0137497506027806"/>
  </r>
  <r>
    <x v="4"/>
    <x v="1"/>
    <x v="3"/>
    <x v="10"/>
    <n v="209"/>
    <n v="181"/>
    <n v="0.86602870813397126"/>
    <n v="720"/>
    <n v="358"/>
    <n v="0.49722222222222223"/>
    <n v="269"/>
    <n v="205"/>
    <n v="0.76208178438661711"/>
    <n v="0.76108333382741522"/>
  </r>
  <r>
    <x v="5"/>
    <x v="0"/>
    <x v="0"/>
    <x v="0"/>
    <n v="184"/>
    <n v="183"/>
    <n v="0.99456521739130432"/>
    <n v="750"/>
    <n v="343"/>
    <n v="0.45733333333333331"/>
    <n v="236"/>
    <n v="258"/>
    <n v="1.0932203389830508"/>
    <n v="0.91671537705723405"/>
  </r>
  <r>
    <x v="5"/>
    <x v="0"/>
    <x v="0"/>
    <x v="1"/>
    <n v="250"/>
    <n v="216"/>
    <n v="0.86399999999999999"/>
    <n v="740"/>
    <n v="395"/>
    <n v="0.53378378378378377"/>
    <n v="241"/>
    <n v="265"/>
    <n v="1.099585062240664"/>
    <n v="0.86863227542895594"/>
  </r>
  <r>
    <x v="5"/>
    <x v="0"/>
    <x v="1"/>
    <x v="2"/>
    <n v="241"/>
    <n v="285"/>
    <n v="1.1825726141078838"/>
    <n v="780"/>
    <n v="386"/>
    <n v="0.49487179487179489"/>
    <n v="294"/>
    <n v="232"/>
    <n v="0.78911564625850339"/>
    <n v="0.92699535990585191"/>
  </r>
  <r>
    <x v="5"/>
    <x v="0"/>
    <x v="1"/>
    <x v="3"/>
    <n v="193"/>
    <n v="214"/>
    <n v="1.1088082901554404"/>
    <n v="760"/>
    <n v="323"/>
    <n v="0.42499999999999999"/>
    <n v="221"/>
    <n v="289"/>
    <n v="1.3076923076923077"/>
    <n v="1.0317118373854124"/>
  </r>
  <r>
    <x v="5"/>
    <x v="1"/>
    <x v="2"/>
    <x v="4"/>
    <n v="158"/>
    <n v="271"/>
    <n v="1.7151898734177216"/>
    <n v="730"/>
    <n v="380"/>
    <n v="0.52054794520547942"/>
    <n v="211"/>
    <n v="242"/>
    <n v="1.1469194312796209"/>
    <n v="1.3057803551338429"/>
  </r>
  <r>
    <x v="5"/>
    <x v="1"/>
    <x v="2"/>
    <x v="5"/>
    <n v="256"/>
    <n v="151"/>
    <n v="0.58984375"/>
    <n v="750"/>
    <n v="353"/>
    <n v="0.47066666666666668"/>
    <n v="263"/>
    <n v="235"/>
    <n v="0.89353612167300378"/>
    <n v="0.65711604483523445"/>
  </r>
  <r>
    <x v="5"/>
    <x v="1"/>
    <x v="2"/>
    <x v="6"/>
    <n v="277"/>
    <n v="244"/>
    <n v="0.88086642599277976"/>
    <n v="700"/>
    <n v="349"/>
    <n v="0.49857142857142855"/>
    <n v="229"/>
    <n v="283"/>
    <n v="1.2358078602620088"/>
    <n v="0.91088985678927825"/>
  </r>
  <r>
    <x v="5"/>
    <x v="1"/>
    <x v="3"/>
    <x v="7"/>
    <n v="203"/>
    <n v="239"/>
    <n v="1.1773399014778325"/>
    <n v="735"/>
    <n v="332"/>
    <n v="0.45170068027210886"/>
    <n v="298"/>
    <n v="206"/>
    <n v="0.6912751677852349"/>
    <n v="0.88639263712890859"/>
  </r>
  <r>
    <x v="5"/>
    <x v="1"/>
    <x v="3"/>
    <x v="8"/>
    <n v="293"/>
    <n v="333"/>
    <n v="1.1365187713310581"/>
    <n v="765"/>
    <n v="363"/>
    <n v="0.47450980392156861"/>
    <n v="213"/>
    <n v="249"/>
    <n v="1.1690140845070423"/>
    <n v="1.0138655718019554"/>
  </r>
  <r>
    <x v="5"/>
    <x v="1"/>
    <x v="3"/>
    <x v="9"/>
    <n v="243"/>
    <n v="236"/>
    <n v="0.9711934156378601"/>
    <n v="715"/>
    <n v="346"/>
    <n v="0.48391608391608393"/>
    <n v="269"/>
    <n v="247"/>
    <n v="0.91821561338289959"/>
    <n v="0.85784460861701661"/>
  </r>
  <r>
    <x v="5"/>
    <x v="1"/>
    <x v="3"/>
    <x v="10"/>
    <n v="223"/>
    <n v="208"/>
    <n v="0.93273542600896864"/>
    <n v="720"/>
    <n v="356"/>
    <n v="0.49444444444444446"/>
    <n v="244"/>
    <n v="220"/>
    <n v="0.90163934426229508"/>
    <n v="0.83574840517206173"/>
  </r>
  <r>
    <x v="6"/>
    <x v="0"/>
    <x v="0"/>
    <x v="0"/>
    <n v="291"/>
    <n v="213"/>
    <n v="0.73195876288659789"/>
    <n v="750"/>
    <n v="348"/>
    <n v="0.46400000000000002"/>
    <n v="278"/>
    <n v="248"/>
    <n v="0.8920863309352518"/>
    <n v="0.72640528072387445"/>
  </r>
  <r>
    <x v="6"/>
    <x v="0"/>
    <x v="0"/>
    <x v="1"/>
    <n v="274"/>
    <n v="304"/>
    <n v="1.1094890510948905"/>
    <n v="740"/>
    <n v="346"/>
    <n v="0.46756756756756757"/>
    <n v="255"/>
    <n v="230"/>
    <n v="0.90196078431372551"/>
    <n v="0.91884627435507649"/>
  </r>
  <r>
    <x v="6"/>
    <x v="0"/>
    <x v="1"/>
    <x v="2"/>
    <n v="158"/>
    <n v="314"/>
    <n v="1.9873417721518987"/>
    <n v="780"/>
    <n v="350"/>
    <n v="0.44871794871794873"/>
    <n v="218"/>
    <n v="249"/>
    <n v="1.1422018348623852"/>
    <n v="1.4260750262782547"/>
  </r>
  <r>
    <x v="6"/>
    <x v="0"/>
    <x v="1"/>
    <x v="3"/>
    <n v="279"/>
    <n v="222"/>
    <n v="0.79569892473118276"/>
    <n v="760"/>
    <n v="322"/>
    <n v="0.42368421052631577"/>
    <n v="240"/>
    <n v="259"/>
    <n v="1.0791666666666666"/>
    <n v="0.80633630447085447"/>
  </r>
  <r>
    <x v="6"/>
    <x v="1"/>
    <x v="2"/>
    <x v="4"/>
    <n v="177"/>
    <n v="319"/>
    <n v="1.8022598870056497"/>
    <n v="730"/>
    <n v="340"/>
    <n v="0.46575342465753422"/>
    <n v="212"/>
    <n v="239"/>
    <n v="1.1273584905660377"/>
    <n v="1.3324881756041429"/>
  </r>
  <r>
    <x v="6"/>
    <x v="1"/>
    <x v="2"/>
    <x v="5"/>
    <n v="204"/>
    <n v="274"/>
    <n v="1.3431372549019607"/>
    <n v="750"/>
    <n v="362"/>
    <n v="0.48266666666666669"/>
    <n v="203"/>
    <n v="248"/>
    <n v="1.2216748768472907"/>
    <n v="1.1346044238385009"/>
  </r>
  <r>
    <x v="6"/>
    <x v="1"/>
    <x v="2"/>
    <x v="6"/>
    <n v="299"/>
    <n v="240"/>
    <n v="0.80267558528428096"/>
    <n v="700"/>
    <n v="368"/>
    <n v="0.52571428571428569"/>
    <n v="245"/>
    <n v="266"/>
    <n v="1.0857142857142856"/>
    <n v="0.83219493549928325"/>
  </r>
  <r>
    <x v="6"/>
    <x v="1"/>
    <x v="3"/>
    <x v="7"/>
    <n v="162"/>
    <n v="153"/>
    <n v="0.94444444444444442"/>
    <n v="735"/>
    <n v="390"/>
    <n v="0.53061224489795922"/>
    <n v="220"/>
    <n v="219"/>
    <n v="0.99545454545454548"/>
    <n v="0.87698103483817769"/>
  </r>
  <r>
    <x v="6"/>
    <x v="1"/>
    <x v="3"/>
    <x v="8"/>
    <n v="191"/>
    <n v="280"/>
    <n v="1.4659685863874345"/>
    <n v="765"/>
    <n v="356"/>
    <n v="0.46535947712418302"/>
    <n v="237"/>
    <n v="258"/>
    <n v="1.0886075949367089"/>
    <n v="1.1526384670995666"/>
  </r>
  <r>
    <x v="6"/>
    <x v="1"/>
    <x v="3"/>
    <x v="9"/>
    <n v="238"/>
    <n v="163"/>
    <n v="0.68487394957983194"/>
    <n v="715"/>
    <n v="337"/>
    <n v="0.47132867132867134"/>
    <n v="248"/>
    <n v="259"/>
    <n v="1.0443548387096775"/>
    <n v="0.7500091606685535"/>
  </r>
  <r>
    <x v="6"/>
    <x v="1"/>
    <x v="3"/>
    <x v="10"/>
    <n v="161"/>
    <n v="202"/>
    <n v="1.2546583850931676"/>
    <n v="720"/>
    <n v="395"/>
    <n v="0.54861111111111116"/>
    <n v="300"/>
    <n v="276"/>
    <n v="0.92"/>
    <n v="1.01305141476880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8D6D06-D4AD-4BED-959E-D8D6B273086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M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showAll="0"/>
    <pivotField showAll="0"/>
    <pivotField numFmtId="165" showAll="0"/>
    <pivotField showAll="0"/>
    <pivotField showAll="0"/>
    <pivotField numFmtId="9" showAll="0"/>
    <pivotField showAll="0"/>
    <pivotField showAll="0"/>
    <pivotField numFmtId="9" showAll="0"/>
    <pivotField dataField="1" numFmtId="165" showAll="0"/>
  </pivotFields>
  <rowItems count="1">
    <i/>
  </rowItems>
  <colItems count="1">
    <i/>
  </colItems>
  <dataFields count="1">
    <dataField name="Average of Performace Score" fld="13" subtotal="average"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CA10E5-B12D-4B5B-A0DB-B14008A2ADF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K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showAll="0"/>
    <pivotField showAll="0"/>
    <pivotField numFmtId="165" showAll="0"/>
    <pivotField showAll="0"/>
    <pivotField showAll="0"/>
    <pivotField numFmtId="9" showAll="0"/>
    <pivotField showAll="0"/>
    <pivotField dataField="1" showAll="0"/>
    <pivotField numFmtId="9" showAll="0"/>
    <pivotField numFmtId="165" showAll="0"/>
  </pivotFields>
  <rowItems count="1">
    <i/>
  </rowItems>
  <colItems count="1">
    <i/>
  </colItems>
  <dataFields count="1">
    <dataField name="Sum of Collection Ach"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B537A4-F545-4886-89B1-000E579FF59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showAll="0"/>
    <pivotField showAll="0"/>
    <pivotField numFmtId="165" showAll="0"/>
    <pivotField dataField="1" showAll="0"/>
    <pivotField showAll="0"/>
    <pivotField numFmtId="9" showAll="0"/>
    <pivotField showAll="0"/>
    <pivotField showAll="0"/>
    <pivotField numFmtId="9" showAll="0"/>
    <pivotField numFmtId="165" showAll="0"/>
  </pivotFields>
  <rowItems count="1">
    <i/>
  </rowItems>
  <colItems count="1">
    <i/>
  </colItems>
  <dataFields count="1">
    <dataField name="Sum of Call Plan"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48C33A-F65F-478F-836E-9F9EEE9BAC0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showAll="0"/>
    <pivotField dataField="1" showAll="0"/>
    <pivotField numFmtId="165" showAll="0"/>
    <pivotField showAll="0"/>
    <pivotField showAll="0"/>
    <pivotField numFmtId="9" showAll="0"/>
    <pivotField showAll="0"/>
    <pivotField showAll="0"/>
    <pivotField numFmtId="9" showAll="0"/>
    <pivotField numFmtId="165" showAll="0"/>
  </pivotFields>
  <rowItems count="1">
    <i/>
  </rowItems>
  <colItems count="1">
    <i/>
  </colItems>
  <dataFields count="1">
    <dataField name="Sum of Value Ach ('000)"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013764-E506-4567-82E1-BC93FD48629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dataField="1" showAll="0"/>
    <pivotField showAll="0"/>
    <pivotField numFmtId="165" showAll="0"/>
    <pivotField showAll="0"/>
    <pivotField showAll="0"/>
    <pivotField numFmtId="9" showAll="0"/>
    <pivotField showAll="0"/>
    <pivotField showAll="0"/>
    <pivotField numFmtId="9" showAll="0"/>
    <pivotField numFmtId="165" showAll="0"/>
  </pivotFields>
  <rowItems count="1">
    <i/>
  </rowItems>
  <colItems count="1">
    <i/>
  </colItems>
  <dataFields count="1">
    <dataField name="Sum of Value Target ('000)"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BDDFBF9-A55B-4FAF-967B-19D87CA005F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I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showAll="0"/>
    <pivotField showAll="0"/>
    <pivotField numFmtId="165" showAll="0"/>
    <pivotField showAll="0"/>
    <pivotField showAll="0"/>
    <pivotField numFmtId="9" showAll="0"/>
    <pivotField dataField="1" showAll="0"/>
    <pivotField showAll="0"/>
    <pivotField numFmtId="9" showAll="0"/>
    <pivotField numFmtId="165" showAll="0"/>
  </pivotFields>
  <rowItems count="1">
    <i/>
  </rowItems>
  <colItems count="1">
    <i/>
  </colItems>
  <dataFields count="1">
    <dataField name="Sum of Pmt. Collecion Targe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A0708B-B076-4925-A6CB-8B3862F31DA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4" firstHeaderRow="1" firstDataRow="1" firstDataCol="0"/>
  <pivotFields count="14">
    <pivotField numFmtId="164" showAll="0">
      <items count="9">
        <item x="0"/>
        <item x="1"/>
        <item x="2"/>
        <item x="3"/>
        <item x="4"/>
        <item x="5"/>
        <item x="6"/>
        <item m="1" x="7"/>
        <item t="default"/>
      </items>
    </pivotField>
    <pivotField showAll="0">
      <items count="3">
        <item x="1"/>
        <item x="0"/>
        <item t="default"/>
      </items>
    </pivotField>
    <pivotField showAll="0">
      <items count="5">
        <item x="1"/>
        <item x="3"/>
        <item x="0"/>
        <item x="2"/>
        <item t="default"/>
      </items>
    </pivotField>
    <pivotField showAll="0">
      <items count="12">
        <item x="1"/>
        <item x="2"/>
        <item x="3"/>
        <item x="7"/>
        <item x="9"/>
        <item x="10"/>
        <item x="5"/>
        <item x="0"/>
        <item x="8"/>
        <item x="4"/>
        <item x="6"/>
        <item t="default"/>
      </items>
    </pivotField>
    <pivotField showAll="0"/>
    <pivotField showAll="0"/>
    <pivotField numFmtId="165" showAll="0"/>
    <pivotField showAll="0"/>
    <pivotField dataField="1" showAll="0"/>
    <pivotField numFmtId="9" showAll="0"/>
    <pivotField showAll="0"/>
    <pivotField showAll="0"/>
    <pivotField numFmtId="9" showAll="0"/>
    <pivotField numFmtId="165" showAll="0"/>
  </pivotFields>
  <rowItems count="1">
    <i/>
  </rowItems>
  <colItems count="1">
    <i/>
  </colItems>
  <dataFields count="1">
    <dataField name="Sum of Effective Call"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s" xr10:uid="{4E4AF080-D18B-4EB2-AD5E-6A7A1FDB176A}" sourceName="Sales Reps">
  <pivotTables>
    <pivotTable tabId="82" name="PivotTable1"/>
    <pivotTable tabId="82" name="PivotTable2"/>
    <pivotTable tabId="82" name="PivotTable3"/>
    <pivotTable tabId="82" name="PivotTable4"/>
    <pivotTable tabId="82" name="PivotTable5"/>
    <pivotTable tabId="82" name="PivotTable6"/>
    <pivotTable tabId="82" name="PivotTable7"/>
  </pivotTables>
  <data>
    <tabular pivotCacheId="601866253">
      <items count="11">
        <i x="1" s="1"/>
        <i x="2" s="1"/>
        <i x="3" s="1"/>
        <i x="7" s="1"/>
        <i x="9" s="1"/>
        <i x="10" s="1"/>
        <i x="5" s="1"/>
        <i x="0" s="1"/>
        <i x="8" s="1"/>
        <i x="4"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715064A-0BC2-4AEA-9F02-3A3336B7F74A}" sourceName="Month">
  <pivotTables>
    <pivotTable tabId="82" name="PivotTable1"/>
    <pivotTable tabId="82" name="PivotTable2"/>
    <pivotTable tabId="82" name="PivotTable3"/>
    <pivotTable tabId="82" name="PivotTable4"/>
    <pivotTable tabId="82" name="PivotTable5"/>
    <pivotTable tabId="82" name="PivotTable6"/>
    <pivotTable tabId="82" name="PivotTable7"/>
  </pivotTables>
  <data>
    <tabular pivotCacheId="601866253">
      <items count="8">
        <i x="0" s="1"/>
        <i x="1" s="1"/>
        <i x="2" s="1"/>
        <i x="3" s="1"/>
        <i x="4" s="1"/>
        <i x="5" s="1"/>
        <i x="6" s="1"/>
        <i x="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_Head" xr10:uid="{6A7D9A15-A56C-406D-B269-67A9963603C7}" sourceName="Department Head">
  <pivotTables>
    <pivotTable tabId="82" name="PivotTable1"/>
    <pivotTable tabId="82" name="PivotTable2"/>
    <pivotTable tabId="82" name="PivotTable3"/>
    <pivotTable tabId="82" name="PivotTable4"/>
    <pivotTable tabId="82" name="PivotTable5"/>
    <pivotTable tabId="82" name="PivotTable6"/>
    <pivotTable tabId="82" name="PivotTable7"/>
  </pivotTables>
  <data>
    <tabular pivotCacheId="601866253">
      <items count="2">
        <i x="1"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anager" xr10:uid="{3C07113D-AA00-4EBB-90A2-3A7155AC546C}" sourceName="Sales Manager">
  <pivotTables>
    <pivotTable tabId="82" name="PivotTable1"/>
    <pivotTable tabId="82" name="PivotTable2"/>
    <pivotTable tabId="82" name="PivotTable3"/>
    <pivotTable tabId="82" name="PivotTable4"/>
    <pivotTable tabId="82" name="PivotTable5"/>
    <pivotTable tabId="82" name="PivotTable6"/>
    <pivotTable tabId="82" name="PivotTable7"/>
  </pivotTables>
  <data>
    <tabular pivotCacheId="601866253">
      <items count="4">
        <i x="1" s="1"/>
        <i x="3" s="1"/>
        <i x="0"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Reps" xr10:uid="{3BB9CD43-7EA7-4C8F-BC24-FECAF0B1DF6C}" cache="Slicer_Sales_Reps" caption="Sales Reps" columnCount="2" rowHeight="241300"/>
  <slicer name="Month" xr10:uid="{06879E6A-ADE1-4F83-8F44-E4A1BE1082B4}" cache="Slicer_Month" caption="Month" rowHeight="241300"/>
  <slicer name="Department Head" xr10:uid="{5687EDE3-E779-4A2C-8778-E68AE0E06D10}" cache="Slicer_Department_Head" caption="Department Head" columnCount="2" rowHeight="241300"/>
  <slicer name="Sales Manager" xr10:uid="{4FE23CCC-FFEC-4419-89B7-6B18F09F9C96}" cache="Slicer_Sales_Manager" caption="Sales Manager"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F1671-768C-49C9-BF7F-89045E4D2BF4}">
  <sheetPr codeName="Sheet1"/>
  <dimension ref="B1:R21"/>
  <sheetViews>
    <sheetView zoomScaleNormal="100" workbookViewId="0">
      <selection activeCell="P2" sqref="P2"/>
    </sheetView>
  </sheetViews>
  <sheetFormatPr defaultRowHeight="20.25" customHeight="1" x14ac:dyDescent="0.25"/>
  <cols>
    <col min="1" max="1" width="8.85546875" style="2" customWidth="1"/>
    <col min="2" max="2" width="9.7109375" style="2" customWidth="1"/>
    <col min="3" max="3" width="15.7109375" style="2" customWidth="1"/>
    <col min="4" max="4" width="13" style="3" customWidth="1"/>
    <col min="5" max="5" width="17.42578125" style="2" customWidth="1"/>
    <col min="6" max="6" width="17" style="2" customWidth="1"/>
    <col min="7" max="19" width="11.28515625" style="2" customWidth="1"/>
    <col min="20" max="16384" width="9.140625" style="2"/>
  </cols>
  <sheetData>
    <row r="1" spans="2:18" ht="20.25" customHeight="1" x14ac:dyDescent="0.25">
      <c r="B1" s="1"/>
      <c r="D1" s="4"/>
    </row>
    <row r="2" spans="2:18" ht="20.25" customHeight="1" x14ac:dyDescent="0.25">
      <c r="P2" s="1"/>
    </row>
    <row r="4" spans="2:18" ht="20.25" customHeight="1" x14ac:dyDescent="0.25">
      <c r="R4" s="9"/>
    </row>
    <row r="7" spans="2:18" ht="20.25" customHeight="1" x14ac:dyDescent="0.25">
      <c r="R7" s="26"/>
    </row>
    <row r="8" spans="2:18" ht="20.25" customHeight="1" x14ac:dyDescent="0.25">
      <c r="P8" s="1"/>
    </row>
    <row r="20" spans="6:10" ht="20.25" customHeight="1" x14ac:dyDescent="0.25">
      <c r="F20" s="1"/>
      <c r="H20" s="1"/>
    </row>
    <row r="21" spans="6:10" ht="20.25" customHeight="1" x14ac:dyDescent="0.25">
      <c r="H21" s="1"/>
      <c r="I21" s="1"/>
      <c r="J21" s="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8AFB-423F-4EE9-A444-8B66C22C78FE}">
  <sheetPr codeName="Sheet3"/>
  <dimension ref="A1:N81"/>
  <sheetViews>
    <sheetView zoomScaleNormal="100" workbookViewId="0">
      <pane ySplit="1" topLeftCell="A64" activePane="bottomLeft" state="frozen"/>
      <selection pane="bottomLeft" activeCell="A79" sqref="A79:XFD79"/>
    </sheetView>
  </sheetViews>
  <sheetFormatPr defaultRowHeight="20.25" customHeight="1" x14ac:dyDescent="0.25"/>
  <cols>
    <col min="1" max="1" width="10.7109375" style="24" customWidth="1"/>
    <col min="2" max="2" width="18.7109375" style="21" customWidth="1"/>
    <col min="3" max="3" width="17.28515625" style="25" customWidth="1"/>
    <col min="4" max="4" width="16.85546875" style="21" customWidth="1"/>
    <col min="5" max="5" width="16.7109375" style="21" customWidth="1"/>
    <col min="6" max="6" width="19.140625" style="21" customWidth="1"/>
    <col min="7" max="7" width="14.28515625" style="21" customWidth="1"/>
    <col min="8" max="8" width="11.28515625" style="21" customWidth="1"/>
    <col min="9" max="9" width="13" style="21" customWidth="1"/>
    <col min="10" max="10" width="17.85546875" style="21" customWidth="1"/>
    <col min="11" max="11" width="19" style="21" customWidth="1"/>
    <col min="12" max="12" width="14.140625" style="21" customWidth="1"/>
    <col min="13" max="13" width="14.85546875" style="21" customWidth="1"/>
    <col min="14" max="14" width="16.7109375" style="21" customWidth="1"/>
    <col min="15" max="17" width="11.28515625" style="21" customWidth="1"/>
    <col min="18" max="16384" width="9.140625" style="21"/>
  </cols>
  <sheetData>
    <row r="1" spans="1:14" s="15" customFormat="1" ht="39" customHeight="1" x14ac:dyDescent="0.25">
      <c r="A1" s="10" t="s">
        <v>0</v>
      </c>
      <c r="B1" s="13" t="s">
        <v>2</v>
      </c>
      <c r="C1" s="12" t="s">
        <v>1</v>
      </c>
      <c r="D1" s="11" t="s">
        <v>22</v>
      </c>
      <c r="E1" s="13" t="s">
        <v>19</v>
      </c>
      <c r="F1" s="13" t="s">
        <v>20</v>
      </c>
      <c r="G1" s="11" t="s">
        <v>33</v>
      </c>
      <c r="H1" s="11" t="s">
        <v>21</v>
      </c>
      <c r="I1" s="13" t="s">
        <v>24</v>
      </c>
      <c r="J1" s="13" t="s">
        <v>25</v>
      </c>
      <c r="K1" s="13" t="s">
        <v>26</v>
      </c>
      <c r="L1" s="13" t="s">
        <v>27</v>
      </c>
      <c r="M1" s="11" t="s">
        <v>34</v>
      </c>
      <c r="N1" s="14" t="s">
        <v>35</v>
      </c>
    </row>
    <row r="2" spans="1:14" ht="20.25" customHeight="1" x14ac:dyDescent="0.25">
      <c r="A2" s="16">
        <v>45322</v>
      </c>
      <c r="B2" s="17" t="s">
        <v>17</v>
      </c>
      <c r="C2" s="18" t="s">
        <v>14</v>
      </c>
      <c r="D2" s="17" t="s">
        <v>3</v>
      </c>
      <c r="E2" s="17">
        <v>211</v>
      </c>
      <c r="F2" s="17">
        <v>282</v>
      </c>
      <c r="G2" s="19">
        <f>F2/E2</f>
        <v>1.3364928909952607</v>
      </c>
      <c r="H2" s="17">
        <v>750</v>
      </c>
      <c r="I2" s="17">
        <v>330</v>
      </c>
      <c r="J2" s="18">
        <f>I2/H2</f>
        <v>0.44</v>
      </c>
      <c r="K2" s="17">
        <v>247</v>
      </c>
      <c r="L2" s="17">
        <v>231</v>
      </c>
      <c r="M2" s="18">
        <f>L2/K2</f>
        <v>0.93522267206477738</v>
      </c>
      <c r="N2" s="20">
        <f>G2*50%+J2*20%+M2*30%</f>
        <v>1.0368132471170635</v>
      </c>
    </row>
    <row r="3" spans="1:14" ht="20.25" customHeight="1" x14ac:dyDescent="0.25">
      <c r="A3" s="16">
        <v>45322</v>
      </c>
      <c r="B3" s="17" t="s">
        <v>17</v>
      </c>
      <c r="C3" s="18" t="s">
        <v>14</v>
      </c>
      <c r="D3" s="17" t="s">
        <v>4</v>
      </c>
      <c r="E3" s="17">
        <v>288</v>
      </c>
      <c r="F3" s="17">
        <v>170</v>
      </c>
      <c r="G3" s="19">
        <f t="shared" ref="G3:G66" si="0">F3/E3</f>
        <v>0.59027777777777779</v>
      </c>
      <c r="H3" s="17">
        <v>740</v>
      </c>
      <c r="I3" s="17">
        <v>323</v>
      </c>
      <c r="J3" s="18">
        <f t="shared" ref="J3:J66" si="1">I3/H3</f>
        <v>0.43648648648648647</v>
      </c>
      <c r="K3" s="17">
        <v>202</v>
      </c>
      <c r="L3" s="17">
        <v>299</v>
      </c>
      <c r="M3" s="18">
        <f t="shared" ref="M3:M66" si="2">L3/K3</f>
        <v>1.4801980198019802</v>
      </c>
      <c r="N3" s="20">
        <f t="shared" ref="N3:N66" si="3">G3*50%+J3*20%+M3*30%</f>
        <v>0.82649559212678025</v>
      </c>
    </row>
    <row r="4" spans="1:14" ht="20.25" customHeight="1" x14ac:dyDescent="0.25">
      <c r="A4" s="16">
        <v>45322</v>
      </c>
      <c r="B4" s="17" t="s">
        <v>17</v>
      </c>
      <c r="C4" s="18" t="s">
        <v>15</v>
      </c>
      <c r="D4" s="17" t="s">
        <v>5</v>
      </c>
      <c r="E4" s="17">
        <v>161</v>
      </c>
      <c r="F4" s="17">
        <v>259</v>
      </c>
      <c r="G4" s="19">
        <f t="shared" si="0"/>
        <v>1.6086956521739131</v>
      </c>
      <c r="H4" s="17">
        <v>780</v>
      </c>
      <c r="I4" s="17">
        <v>361</v>
      </c>
      <c r="J4" s="18">
        <f t="shared" si="1"/>
        <v>0.46282051282051284</v>
      </c>
      <c r="K4" s="17">
        <v>291</v>
      </c>
      <c r="L4" s="17">
        <v>276</v>
      </c>
      <c r="M4" s="18">
        <f t="shared" si="2"/>
        <v>0.94845360824742264</v>
      </c>
      <c r="N4" s="20">
        <f t="shared" si="3"/>
        <v>1.1814480111252861</v>
      </c>
    </row>
    <row r="5" spans="1:14" ht="20.25" customHeight="1" x14ac:dyDescent="0.25">
      <c r="A5" s="16">
        <v>45322</v>
      </c>
      <c r="B5" s="17" t="s">
        <v>17</v>
      </c>
      <c r="C5" s="18" t="s">
        <v>15</v>
      </c>
      <c r="D5" s="17" t="s">
        <v>6</v>
      </c>
      <c r="E5" s="17">
        <v>242</v>
      </c>
      <c r="F5" s="17">
        <v>262</v>
      </c>
      <c r="G5" s="19">
        <f t="shared" si="0"/>
        <v>1.0826446280991735</v>
      </c>
      <c r="H5" s="17">
        <v>760</v>
      </c>
      <c r="I5" s="17">
        <v>366</v>
      </c>
      <c r="J5" s="18">
        <f t="shared" si="1"/>
        <v>0.48157894736842105</v>
      </c>
      <c r="K5" s="17">
        <v>272</v>
      </c>
      <c r="L5" s="17">
        <v>213</v>
      </c>
      <c r="M5" s="18">
        <f t="shared" si="2"/>
        <v>0.78308823529411764</v>
      </c>
      <c r="N5" s="20">
        <f t="shared" si="3"/>
        <v>0.87256457411150623</v>
      </c>
    </row>
    <row r="6" spans="1:14" ht="20.25" customHeight="1" x14ac:dyDescent="0.25">
      <c r="A6" s="16">
        <v>45322</v>
      </c>
      <c r="B6" s="17" t="s">
        <v>18</v>
      </c>
      <c r="C6" s="18" t="s">
        <v>23</v>
      </c>
      <c r="D6" s="17" t="s">
        <v>7</v>
      </c>
      <c r="E6" s="17">
        <v>164</v>
      </c>
      <c r="F6" s="17">
        <v>184</v>
      </c>
      <c r="G6" s="19">
        <f t="shared" si="0"/>
        <v>1.1219512195121952</v>
      </c>
      <c r="H6" s="17">
        <v>730</v>
      </c>
      <c r="I6" s="17">
        <v>321</v>
      </c>
      <c r="J6" s="18">
        <f t="shared" si="1"/>
        <v>0.4397260273972603</v>
      </c>
      <c r="K6" s="17">
        <v>236</v>
      </c>
      <c r="L6" s="17">
        <v>237</v>
      </c>
      <c r="M6" s="18">
        <f t="shared" si="2"/>
        <v>1.0042372881355932</v>
      </c>
      <c r="N6" s="20">
        <f t="shared" si="3"/>
        <v>0.95019200167622764</v>
      </c>
    </row>
    <row r="7" spans="1:14" ht="20.25" customHeight="1" x14ac:dyDescent="0.25">
      <c r="A7" s="16">
        <v>45322</v>
      </c>
      <c r="B7" s="17" t="s">
        <v>18</v>
      </c>
      <c r="C7" s="18" t="s">
        <v>23</v>
      </c>
      <c r="D7" s="17" t="s">
        <v>8</v>
      </c>
      <c r="E7" s="17">
        <v>216</v>
      </c>
      <c r="F7" s="17">
        <v>118</v>
      </c>
      <c r="G7" s="19">
        <f t="shared" si="0"/>
        <v>0.54629629629629628</v>
      </c>
      <c r="H7" s="17">
        <v>750</v>
      </c>
      <c r="I7" s="17">
        <v>360</v>
      </c>
      <c r="J7" s="18">
        <f t="shared" si="1"/>
        <v>0.48</v>
      </c>
      <c r="K7" s="17">
        <v>245</v>
      </c>
      <c r="L7" s="17">
        <v>289</v>
      </c>
      <c r="M7" s="18">
        <f t="shared" si="2"/>
        <v>1.1795918367346938</v>
      </c>
      <c r="N7" s="20">
        <f t="shared" si="3"/>
        <v>0.72302569916855619</v>
      </c>
    </row>
    <row r="8" spans="1:14" ht="20.25" customHeight="1" x14ac:dyDescent="0.25">
      <c r="A8" s="16">
        <v>45322</v>
      </c>
      <c r="B8" s="17" t="s">
        <v>18</v>
      </c>
      <c r="C8" s="18" t="s">
        <v>23</v>
      </c>
      <c r="D8" s="17" t="s">
        <v>9</v>
      </c>
      <c r="E8" s="17">
        <v>257</v>
      </c>
      <c r="F8" s="17">
        <v>294</v>
      </c>
      <c r="G8" s="19">
        <f t="shared" si="0"/>
        <v>1.1439688715953307</v>
      </c>
      <c r="H8" s="17">
        <v>700</v>
      </c>
      <c r="I8" s="17">
        <v>392</v>
      </c>
      <c r="J8" s="18">
        <f t="shared" si="1"/>
        <v>0.56000000000000005</v>
      </c>
      <c r="K8" s="17">
        <v>294</v>
      </c>
      <c r="L8" s="17">
        <v>285</v>
      </c>
      <c r="M8" s="18">
        <f t="shared" si="2"/>
        <v>0.96938775510204078</v>
      </c>
      <c r="N8" s="20">
        <f t="shared" si="3"/>
        <v>0.9748007623282775</v>
      </c>
    </row>
    <row r="9" spans="1:14" ht="20.25" customHeight="1" x14ac:dyDescent="0.25">
      <c r="A9" s="16">
        <v>45322</v>
      </c>
      <c r="B9" s="17" t="s">
        <v>18</v>
      </c>
      <c r="C9" s="18" t="s">
        <v>16</v>
      </c>
      <c r="D9" s="17" t="s">
        <v>10</v>
      </c>
      <c r="E9" s="17">
        <v>181</v>
      </c>
      <c r="F9" s="17">
        <v>230</v>
      </c>
      <c r="G9" s="19">
        <f t="shared" si="0"/>
        <v>1.270718232044199</v>
      </c>
      <c r="H9" s="17">
        <v>735</v>
      </c>
      <c r="I9" s="17">
        <v>360</v>
      </c>
      <c r="J9" s="18">
        <f t="shared" si="1"/>
        <v>0.48979591836734693</v>
      </c>
      <c r="K9" s="17">
        <v>297</v>
      </c>
      <c r="L9" s="17">
        <v>294</v>
      </c>
      <c r="M9" s="18">
        <f t="shared" si="2"/>
        <v>0.98989898989898994</v>
      </c>
      <c r="N9" s="20">
        <f t="shared" si="3"/>
        <v>1.0302879966652658</v>
      </c>
    </row>
    <row r="10" spans="1:14" ht="20.25" customHeight="1" x14ac:dyDescent="0.25">
      <c r="A10" s="16">
        <v>45322</v>
      </c>
      <c r="B10" s="17" t="s">
        <v>18</v>
      </c>
      <c r="C10" s="18" t="s">
        <v>16</v>
      </c>
      <c r="D10" s="17" t="s">
        <v>11</v>
      </c>
      <c r="E10" s="17">
        <v>193</v>
      </c>
      <c r="F10" s="17">
        <v>186</v>
      </c>
      <c r="G10" s="19">
        <f t="shared" si="0"/>
        <v>0.96373056994818651</v>
      </c>
      <c r="H10" s="17">
        <v>765</v>
      </c>
      <c r="I10" s="17">
        <v>399</v>
      </c>
      <c r="J10" s="18">
        <f t="shared" si="1"/>
        <v>0.52156862745098043</v>
      </c>
      <c r="K10" s="17">
        <v>216</v>
      </c>
      <c r="L10" s="17">
        <v>271</v>
      </c>
      <c r="M10" s="18">
        <f t="shared" si="2"/>
        <v>1.2546296296296295</v>
      </c>
      <c r="N10" s="20">
        <f t="shared" si="3"/>
        <v>0.9625678993531781</v>
      </c>
    </row>
    <row r="11" spans="1:14" ht="20.25" customHeight="1" x14ac:dyDescent="0.25">
      <c r="A11" s="16">
        <v>45322</v>
      </c>
      <c r="B11" s="17" t="s">
        <v>18</v>
      </c>
      <c r="C11" s="18" t="s">
        <v>16</v>
      </c>
      <c r="D11" s="17" t="s">
        <v>12</v>
      </c>
      <c r="E11" s="17">
        <v>194</v>
      </c>
      <c r="F11" s="17">
        <v>100</v>
      </c>
      <c r="G11" s="19">
        <f t="shared" si="0"/>
        <v>0.51546391752577314</v>
      </c>
      <c r="H11" s="17">
        <v>715</v>
      </c>
      <c r="I11" s="17">
        <v>371</v>
      </c>
      <c r="J11" s="18">
        <f t="shared" si="1"/>
        <v>0.51888111888111887</v>
      </c>
      <c r="K11" s="17">
        <v>291</v>
      </c>
      <c r="L11" s="17">
        <v>250</v>
      </c>
      <c r="M11" s="18">
        <f t="shared" si="2"/>
        <v>0.85910652920962194</v>
      </c>
      <c r="N11" s="20">
        <f t="shared" si="3"/>
        <v>0.61924014130199689</v>
      </c>
    </row>
    <row r="12" spans="1:14" ht="20.25" customHeight="1" x14ac:dyDescent="0.25">
      <c r="A12" s="16">
        <v>45322</v>
      </c>
      <c r="B12" s="17" t="s">
        <v>18</v>
      </c>
      <c r="C12" s="18" t="s">
        <v>16</v>
      </c>
      <c r="D12" s="17" t="s">
        <v>13</v>
      </c>
      <c r="E12" s="17">
        <v>251</v>
      </c>
      <c r="F12" s="17">
        <v>297</v>
      </c>
      <c r="G12" s="19">
        <f t="shared" si="0"/>
        <v>1.1832669322709164</v>
      </c>
      <c r="H12" s="17">
        <v>720</v>
      </c>
      <c r="I12" s="17">
        <v>339</v>
      </c>
      <c r="J12" s="18">
        <f t="shared" si="1"/>
        <v>0.47083333333333333</v>
      </c>
      <c r="K12" s="17">
        <v>213</v>
      </c>
      <c r="L12" s="17">
        <v>235</v>
      </c>
      <c r="M12" s="18">
        <f t="shared" si="2"/>
        <v>1.1032863849765258</v>
      </c>
      <c r="N12" s="20">
        <f t="shared" si="3"/>
        <v>1.0167860482950826</v>
      </c>
    </row>
    <row r="13" spans="1:14" ht="20.25" customHeight="1" x14ac:dyDescent="0.25">
      <c r="A13" s="16">
        <v>45350</v>
      </c>
      <c r="B13" s="17" t="s">
        <v>17</v>
      </c>
      <c r="C13" s="18" t="s">
        <v>14</v>
      </c>
      <c r="D13" s="17" t="s">
        <v>3</v>
      </c>
      <c r="E13" s="17">
        <v>278</v>
      </c>
      <c r="F13" s="17">
        <v>348</v>
      </c>
      <c r="G13" s="19">
        <f t="shared" si="0"/>
        <v>1.2517985611510791</v>
      </c>
      <c r="H13" s="17">
        <v>750</v>
      </c>
      <c r="I13" s="17">
        <v>368</v>
      </c>
      <c r="J13" s="18">
        <f t="shared" si="1"/>
        <v>0.49066666666666664</v>
      </c>
      <c r="K13" s="17">
        <v>228</v>
      </c>
      <c r="L13" s="17">
        <v>257</v>
      </c>
      <c r="M13" s="18">
        <f t="shared" si="2"/>
        <v>1.1271929824561404</v>
      </c>
      <c r="N13" s="20">
        <f t="shared" si="3"/>
        <v>1.0621905086457151</v>
      </c>
    </row>
    <row r="14" spans="1:14" ht="20.25" customHeight="1" x14ac:dyDescent="0.25">
      <c r="A14" s="16">
        <v>45350</v>
      </c>
      <c r="B14" s="17" t="s">
        <v>17</v>
      </c>
      <c r="C14" s="18" t="s">
        <v>14</v>
      </c>
      <c r="D14" s="17" t="s">
        <v>4</v>
      </c>
      <c r="E14" s="17">
        <v>191</v>
      </c>
      <c r="F14" s="17">
        <v>230</v>
      </c>
      <c r="G14" s="19">
        <f t="shared" si="0"/>
        <v>1.2041884816753927</v>
      </c>
      <c r="H14" s="17">
        <v>740</v>
      </c>
      <c r="I14" s="17">
        <v>327</v>
      </c>
      <c r="J14" s="18">
        <f t="shared" si="1"/>
        <v>0.44189189189189187</v>
      </c>
      <c r="K14" s="17">
        <v>221</v>
      </c>
      <c r="L14" s="17">
        <v>261</v>
      </c>
      <c r="M14" s="18">
        <f t="shared" si="2"/>
        <v>1.1809954751131222</v>
      </c>
      <c r="N14" s="20">
        <f t="shared" si="3"/>
        <v>1.0447712617500113</v>
      </c>
    </row>
    <row r="15" spans="1:14" ht="20.25" customHeight="1" x14ac:dyDescent="0.25">
      <c r="A15" s="16">
        <v>45350</v>
      </c>
      <c r="B15" s="17" t="s">
        <v>17</v>
      </c>
      <c r="C15" s="18" t="s">
        <v>15</v>
      </c>
      <c r="D15" s="17" t="s">
        <v>5</v>
      </c>
      <c r="E15" s="17">
        <v>297</v>
      </c>
      <c r="F15" s="17">
        <v>211</v>
      </c>
      <c r="G15" s="19">
        <f t="shared" si="0"/>
        <v>0.71043771043771042</v>
      </c>
      <c r="H15" s="17">
        <v>780</v>
      </c>
      <c r="I15" s="17">
        <v>323</v>
      </c>
      <c r="J15" s="18">
        <f t="shared" si="1"/>
        <v>0.41410256410256413</v>
      </c>
      <c r="K15" s="17">
        <v>208</v>
      </c>
      <c r="L15" s="17">
        <v>241</v>
      </c>
      <c r="M15" s="18">
        <f t="shared" si="2"/>
        <v>1.1586538461538463</v>
      </c>
      <c r="N15" s="20">
        <f t="shared" si="3"/>
        <v>0.78563552188552199</v>
      </c>
    </row>
    <row r="16" spans="1:14" ht="20.25" customHeight="1" x14ac:dyDescent="0.25">
      <c r="A16" s="16">
        <v>45350</v>
      </c>
      <c r="B16" s="17" t="s">
        <v>17</v>
      </c>
      <c r="C16" s="18" t="s">
        <v>15</v>
      </c>
      <c r="D16" s="17" t="s">
        <v>6</v>
      </c>
      <c r="E16" s="17">
        <v>191</v>
      </c>
      <c r="F16" s="17">
        <v>219</v>
      </c>
      <c r="G16" s="19">
        <f t="shared" si="0"/>
        <v>1.1465968586387434</v>
      </c>
      <c r="H16" s="17">
        <v>760</v>
      </c>
      <c r="I16" s="17">
        <v>334</v>
      </c>
      <c r="J16" s="18">
        <f t="shared" si="1"/>
        <v>0.43947368421052629</v>
      </c>
      <c r="K16" s="17">
        <v>280</v>
      </c>
      <c r="L16" s="17">
        <v>284</v>
      </c>
      <c r="M16" s="18">
        <f t="shared" si="2"/>
        <v>1.0142857142857142</v>
      </c>
      <c r="N16" s="20">
        <f t="shared" si="3"/>
        <v>0.96547888044719121</v>
      </c>
    </row>
    <row r="17" spans="1:14" ht="20.25" customHeight="1" x14ac:dyDescent="0.25">
      <c r="A17" s="16">
        <v>45350</v>
      </c>
      <c r="B17" s="17" t="s">
        <v>18</v>
      </c>
      <c r="C17" s="18" t="s">
        <v>23</v>
      </c>
      <c r="D17" s="17" t="s">
        <v>7</v>
      </c>
      <c r="E17" s="17">
        <v>184</v>
      </c>
      <c r="F17" s="17">
        <v>174</v>
      </c>
      <c r="G17" s="19">
        <f t="shared" si="0"/>
        <v>0.94565217391304346</v>
      </c>
      <c r="H17" s="17">
        <v>730</v>
      </c>
      <c r="I17" s="17">
        <v>381</v>
      </c>
      <c r="J17" s="18">
        <f t="shared" si="1"/>
        <v>0.5219178082191781</v>
      </c>
      <c r="K17" s="17">
        <v>281</v>
      </c>
      <c r="L17" s="17">
        <v>297</v>
      </c>
      <c r="M17" s="18">
        <f t="shared" si="2"/>
        <v>1.0569395017793595</v>
      </c>
      <c r="N17" s="20">
        <f t="shared" si="3"/>
        <v>0.89429149913416528</v>
      </c>
    </row>
    <row r="18" spans="1:14" ht="20.25" customHeight="1" x14ac:dyDescent="0.25">
      <c r="A18" s="16">
        <v>45350</v>
      </c>
      <c r="B18" s="17" t="s">
        <v>18</v>
      </c>
      <c r="C18" s="18" t="s">
        <v>23</v>
      </c>
      <c r="D18" s="17" t="s">
        <v>8</v>
      </c>
      <c r="E18" s="17">
        <v>221</v>
      </c>
      <c r="F18" s="17">
        <v>290</v>
      </c>
      <c r="G18" s="19">
        <f t="shared" si="0"/>
        <v>1.3122171945701357</v>
      </c>
      <c r="H18" s="17">
        <v>750</v>
      </c>
      <c r="I18" s="17">
        <v>361</v>
      </c>
      <c r="J18" s="18">
        <f t="shared" si="1"/>
        <v>0.48133333333333334</v>
      </c>
      <c r="K18" s="17">
        <v>281</v>
      </c>
      <c r="L18" s="17">
        <v>272</v>
      </c>
      <c r="M18" s="18">
        <f t="shared" si="2"/>
        <v>0.96797153024911031</v>
      </c>
      <c r="N18" s="20">
        <f t="shared" si="3"/>
        <v>1.0427667230264674</v>
      </c>
    </row>
    <row r="19" spans="1:14" ht="20.25" customHeight="1" x14ac:dyDescent="0.25">
      <c r="A19" s="16">
        <v>45350</v>
      </c>
      <c r="B19" s="17" t="s">
        <v>18</v>
      </c>
      <c r="C19" s="18" t="s">
        <v>23</v>
      </c>
      <c r="D19" s="17" t="s">
        <v>9</v>
      </c>
      <c r="E19" s="17">
        <v>217</v>
      </c>
      <c r="F19" s="17">
        <v>114</v>
      </c>
      <c r="G19" s="19">
        <f t="shared" si="0"/>
        <v>0.52534562211981561</v>
      </c>
      <c r="H19" s="17">
        <v>700</v>
      </c>
      <c r="I19" s="17">
        <v>335</v>
      </c>
      <c r="J19" s="18">
        <f t="shared" si="1"/>
        <v>0.47857142857142859</v>
      </c>
      <c r="K19" s="17">
        <v>203</v>
      </c>
      <c r="L19" s="17">
        <v>274</v>
      </c>
      <c r="M19" s="18">
        <f t="shared" si="2"/>
        <v>1.3497536945812807</v>
      </c>
      <c r="N19" s="20">
        <f t="shared" si="3"/>
        <v>0.76331320514857781</v>
      </c>
    </row>
    <row r="20" spans="1:14" ht="20.25" customHeight="1" x14ac:dyDescent="0.25">
      <c r="A20" s="16">
        <v>45350</v>
      </c>
      <c r="B20" s="17" t="s">
        <v>18</v>
      </c>
      <c r="C20" s="18" t="s">
        <v>16</v>
      </c>
      <c r="D20" s="17" t="s">
        <v>10</v>
      </c>
      <c r="E20" s="17">
        <v>286</v>
      </c>
      <c r="F20" s="17">
        <v>193</v>
      </c>
      <c r="G20" s="19">
        <f t="shared" si="0"/>
        <v>0.67482517482517479</v>
      </c>
      <c r="H20" s="17">
        <v>735</v>
      </c>
      <c r="I20" s="17">
        <v>357</v>
      </c>
      <c r="J20" s="18">
        <f t="shared" si="1"/>
        <v>0.48571428571428571</v>
      </c>
      <c r="K20" s="17">
        <v>232</v>
      </c>
      <c r="L20" s="17">
        <v>274</v>
      </c>
      <c r="M20" s="18">
        <f t="shared" si="2"/>
        <v>1.1810344827586208</v>
      </c>
      <c r="N20" s="20">
        <f t="shared" si="3"/>
        <v>0.78886578938303076</v>
      </c>
    </row>
    <row r="21" spans="1:14" ht="20.25" customHeight="1" x14ac:dyDescent="0.25">
      <c r="A21" s="16">
        <v>45350</v>
      </c>
      <c r="B21" s="17" t="s">
        <v>18</v>
      </c>
      <c r="C21" s="18" t="s">
        <v>16</v>
      </c>
      <c r="D21" s="17" t="s">
        <v>11</v>
      </c>
      <c r="E21" s="17">
        <v>260</v>
      </c>
      <c r="F21" s="17">
        <v>277</v>
      </c>
      <c r="G21" s="19">
        <f t="shared" si="0"/>
        <v>1.0653846153846154</v>
      </c>
      <c r="H21" s="17">
        <v>765</v>
      </c>
      <c r="I21" s="17">
        <v>331</v>
      </c>
      <c r="J21" s="18">
        <f t="shared" si="1"/>
        <v>0.43267973856209152</v>
      </c>
      <c r="K21" s="17">
        <v>271</v>
      </c>
      <c r="L21" s="17">
        <v>204</v>
      </c>
      <c r="M21" s="18">
        <f t="shared" si="2"/>
        <v>0.75276752767527677</v>
      </c>
      <c r="N21" s="20">
        <f t="shared" si="3"/>
        <v>0.845058513707309</v>
      </c>
    </row>
    <row r="22" spans="1:14" ht="20.25" customHeight="1" x14ac:dyDescent="0.25">
      <c r="A22" s="16">
        <v>45350</v>
      </c>
      <c r="B22" s="17" t="s">
        <v>18</v>
      </c>
      <c r="C22" s="18" t="s">
        <v>16</v>
      </c>
      <c r="D22" s="17" t="s">
        <v>12</v>
      </c>
      <c r="E22" s="17">
        <v>187</v>
      </c>
      <c r="F22" s="17">
        <v>139</v>
      </c>
      <c r="G22" s="19">
        <f t="shared" si="0"/>
        <v>0.74331550802139035</v>
      </c>
      <c r="H22" s="17">
        <v>715</v>
      </c>
      <c r="I22" s="17">
        <v>375</v>
      </c>
      <c r="J22" s="18">
        <f t="shared" si="1"/>
        <v>0.52447552447552448</v>
      </c>
      <c r="K22" s="17">
        <v>240</v>
      </c>
      <c r="L22" s="17">
        <v>252</v>
      </c>
      <c r="M22" s="18">
        <f t="shared" si="2"/>
        <v>1.05</v>
      </c>
      <c r="N22" s="20">
        <f t="shared" si="3"/>
        <v>0.79155285890580007</v>
      </c>
    </row>
    <row r="23" spans="1:14" ht="20.25" customHeight="1" x14ac:dyDescent="0.25">
      <c r="A23" s="16">
        <v>45350</v>
      </c>
      <c r="B23" s="17" t="s">
        <v>18</v>
      </c>
      <c r="C23" s="18" t="s">
        <v>16</v>
      </c>
      <c r="D23" s="17" t="s">
        <v>13</v>
      </c>
      <c r="E23" s="17">
        <v>186</v>
      </c>
      <c r="F23" s="17">
        <v>243</v>
      </c>
      <c r="G23" s="19">
        <f t="shared" si="0"/>
        <v>1.3064516129032258</v>
      </c>
      <c r="H23" s="17">
        <v>720</v>
      </c>
      <c r="I23" s="17">
        <v>359</v>
      </c>
      <c r="J23" s="18">
        <f t="shared" si="1"/>
        <v>0.49861111111111112</v>
      </c>
      <c r="K23" s="17">
        <v>238</v>
      </c>
      <c r="L23" s="17">
        <v>276</v>
      </c>
      <c r="M23" s="18">
        <f t="shared" si="2"/>
        <v>1.1596638655462186</v>
      </c>
      <c r="N23" s="20">
        <f t="shared" si="3"/>
        <v>1.1008471883377007</v>
      </c>
    </row>
    <row r="24" spans="1:14" ht="20.25" customHeight="1" x14ac:dyDescent="0.25">
      <c r="A24" s="16">
        <v>45381</v>
      </c>
      <c r="B24" s="17" t="s">
        <v>17</v>
      </c>
      <c r="C24" s="18" t="s">
        <v>14</v>
      </c>
      <c r="D24" s="17" t="s">
        <v>3</v>
      </c>
      <c r="E24" s="17">
        <v>207</v>
      </c>
      <c r="F24" s="17">
        <v>269</v>
      </c>
      <c r="G24" s="19">
        <f t="shared" si="0"/>
        <v>1.2995169082125604</v>
      </c>
      <c r="H24" s="17">
        <v>750</v>
      </c>
      <c r="I24" s="17">
        <v>388</v>
      </c>
      <c r="J24" s="18">
        <f t="shared" si="1"/>
        <v>0.51733333333333331</v>
      </c>
      <c r="K24" s="17">
        <v>237</v>
      </c>
      <c r="L24" s="17">
        <v>207</v>
      </c>
      <c r="M24" s="18">
        <f t="shared" si="2"/>
        <v>0.87341772151898733</v>
      </c>
      <c r="N24" s="20">
        <f t="shared" si="3"/>
        <v>1.0152504372286431</v>
      </c>
    </row>
    <row r="25" spans="1:14" ht="20.25" customHeight="1" x14ac:dyDescent="0.25">
      <c r="A25" s="16">
        <v>45381</v>
      </c>
      <c r="B25" s="17" t="s">
        <v>17</v>
      </c>
      <c r="C25" s="18" t="s">
        <v>14</v>
      </c>
      <c r="D25" s="17" t="s">
        <v>4</v>
      </c>
      <c r="E25" s="17">
        <v>186</v>
      </c>
      <c r="F25" s="17">
        <v>219</v>
      </c>
      <c r="G25" s="19">
        <f t="shared" si="0"/>
        <v>1.1774193548387097</v>
      </c>
      <c r="H25" s="17">
        <v>740</v>
      </c>
      <c r="I25" s="17">
        <v>352</v>
      </c>
      <c r="J25" s="18">
        <f t="shared" si="1"/>
        <v>0.4756756756756757</v>
      </c>
      <c r="K25" s="17">
        <v>287</v>
      </c>
      <c r="L25" s="17">
        <v>251</v>
      </c>
      <c r="M25" s="18">
        <f t="shared" si="2"/>
        <v>0.87456445993031362</v>
      </c>
      <c r="N25" s="20">
        <f t="shared" si="3"/>
        <v>0.94621415053358415</v>
      </c>
    </row>
    <row r="26" spans="1:14" ht="20.25" customHeight="1" x14ac:dyDescent="0.25">
      <c r="A26" s="16">
        <v>45381</v>
      </c>
      <c r="B26" s="17" t="s">
        <v>17</v>
      </c>
      <c r="C26" s="18" t="s">
        <v>15</v>
      </c>
      <c r="D26" s="17" t="s">
        <v>5</v>
      </c>
      <c r="E26" s="17">
        <v>263</v>
      </c>
      <c r="F26" s="17">
        <v>228</v>
      </c>
      <c r="G26" s="19">
        <f t="shared" si="0"/>
        <v>0.86692015209125473</v>
      </c>
      <c r="H26" s="17">
        <v>780</v>
      </c>
      <c r="I26" s="17">
        <v>344</v>
      </c>
      <c r="J26" s="18">
        <f t="shared" si="1"/>
        <v>0.44102564102564101</v>
      </c>
      <c r="K26" s="17">
        <v>219</v>
      </c>
      <c r="L26" s="17">
        <v>260</v>
      </c>
      <c r="M26" s="18">
        <f t="shared" si="2"/>
        <v>1.1872146118721461</v>
      </c>
      <c r="N26" s="20">
        <f t="shared" si="3"/>
        <v>0.87782958781239939</v>
      </c>
    </row>
    <row r="27" spans="1:14" ht="20.25" customHeight="1" x14ac:dyDescent="0.25">
      <c r="A27" s="16">
        <v>45381</v>
      </c>
      <c r="B27" s="17" t="s">
        <v>17</v>
      </c>
      <c r="C27" s="18" t="s">
        <v>15</v>
      </c>
      <c r="D27" s="17" t="s">
        <v>6</v>
      </c>
      <c r="E27" s="17">
        <v>199</v>
      </c>
      <c r="F27" s="17">
        <v>210</v>
      </c>
      <c r="G27" s="19">
        <f t="shared" si="0"/>
        <v>1.0552763819095476</v>
      </c>
      <c r="H27" s="17">
        <v>760</v>
      </c>
      <c r="I27" s="17">
        <v>399</v>
      </c>
      <c r="J27" s="18">
        <f t="shared" si="1"/>
        <v>0.52500000000000002</v>
      </c>
      <c r="K27" s="17">
        <v>280</v>
      </c>
      <c r="L27" s="17">
        <v>249</v>
      </c>
      <c r="M27" s="18">
        <f t="shared" si="2"/>
        <v>0.88928571428571423</v>
      </c>
      <c r="N27" s="20">
        <f t="shared" si="3"/>
        <v>0.89942390524048799</v>
      </c>
    </row>
    <row r="28" spans="1:14" ht="20.25" customHeight="1" x14ac:dyDescent="0.25">
      <c r="A28" s="16">
        <v>45381</v>
      </c>
      <c r="B28" s="17" t="s">
        <v>18</v>
      </c>
      <c r="C28" s="18" t="s">
        <v>23</v>
      </c>
      <c r="D28" s="17" t="s">
        <v>7</v>
      </c>
      <c r="E28" s="17">
        <v>229</v>
      </c>
      <c r="F28" s="17">
        <v>202</v>
      </c>
      <c r="G28" s="19">
        <f t="shared" si="0"/>
        <v>0.88209606986899558</v>
      </c>
      <c r="H28" s="17">
        <v>730</v>
      </c>
      <c r="I28" s="17">
        <v>351</v>
      </c>
      <c r="J28" s="18">
        <f t="shared" si="1"/>
        <v>0.4808219178082192</v>
      </c>
      <c r="K28" s="17">
        <v>263</v>
      </c>
      <c r="L28" s="17">
        <v>284</v>
      </c>
      <c r="M28" s="18">
        <f t="shared" si="2"/>
        <v>1.0798479087452471</v>
      </c>
      <c r="N28" s="20">
        <f t="shared" si="3"/>
        <v>0.86116679111971584</v>
      </c>
    </row>
    <row r="29" spans="1:14" ht="20.25" customHeight="1" x14ac:dyDescent="0.25">
      <c r="A29" s="16">
        <v>45381</v>
      </c>
      <c r="B29" s="17" t="s">
        <v>18</v>
      </c>
      <c r="C29" s="18" t="s">
        <v>23</v>
      </c>
      <c r="D29" s="17" t="s">
        <v>8</v>
      </c>
      <c r="E29" s="17">
        <v>271</v>
      </c>
      <c r="F29" s="17">
        <v>123</v>
      </c>
      <c r="G29" s="19">
        <f t="shared" si="0"/>
        <v>0.45387453874538747</v>
      </c>
      <c r="H29" s="17">
        <v>750</v>
      </c>
      <c r="I29" s="17">
        <v>362</v>
      </c>
      <c r="J29" s="18">
        <f t="shared" si="1"/>
        <v>0.48266666666666669</v>
      </c>
      <c r="K29" s="17">
        <v>206</v>
      </c>
      <c r="L29" s="17">
        <v>241</v>
      </c>
      <c r="M29" s="18">
        <f t="shared" si="2"/>
        <v>1.1699029126213591</v>
      </c>
      <c r="N29" s="20">
        <f t="shared" si="3"/>
        <v>0.6744414764924348</v>
      </c>
    </row>
    <row r="30" spans="1:14" ht="20.25" customHeight="1" x14ac:dyDescent="0.25">
      <c r="A30" s="16">
        <v>45381</v>
      </c>
      <c r="B30" s="17" t="s">
        <v>18</v>
      </c>
      <c r="C30" s="18" t="s">
        <v>23</v>
      </c>
      <c r="D30" s="17" t="s">
        <v>9</v>
      </c>
      <c r="E30" s="17">
        <v>222</v>
      </c>
      <c r="F30" s="17">
        <v>177</v>
      </c>
      <c r="G30" s="19">
        <f t="shared" si="0"/>
        <v>0.79729729729729726</v>
      </c>
      <c r="H30" s="17">
        <v>700</v>
      </c>
      <c r="I30" s="17">
        <v>324</v>
      </c>
      <c r="J30" s="18">
        <f t="shared" si="1"/>
        <v>0.46285714285714286</v>
      </c>
      <c r="K30" s="17">
        <v>205</v>
      </c>
      <c r="L30" s="17">
        <v>206</v>
      </c>
      <c r="M30" s="18">
        <f t="shared" si="2"/>
        <v>1.0048780487804878</v>
      </c>
      <c r="N30" s="20">
        <f t="shared" si="3"/>
        <v>0.7926834918542236</v>
      </c>
    </row>
    <row r="31" spans="1:14" ht="20.25" customHeight="1" x14ac:dyDescent="0.25">
      <c r="A31" s="16">
        <v>45381</v>
      </c>
      <c r="B31" s="17" t="s">
        <v>18</v>
      </c>
      <c r="C31" s="18" t="s">
        <v>16</v>
      </c>
      <c r="D31" s="17" t="s">
        <v>10</v>
      </c>
      <c r="E31" s="17">
        <v>186</v>
      </c>
      <c r="F31" s="17">
        <v>146</v>
      </c>
      <c r="G31" s="19">
        <f t="shared" si="0"/>
        <v>0.78494623655913975</v>
      </c>
      <c r="H31" s="17">
        <v>735</v>
      </c>
      <c r="I31" s="17">
        <v>358</v>
      </c>
      <c r="J31" s="18">
        <f t="shared" si="1"/>
        <v>0.48707482993197276</v>
      </c>
      <c r="K31" s="17">
        <v>295</v>
      </c>
      <c r="L31" s="17">
        <v>248</v>
      </c>
      <c r="M31" s="18">
        <f t="shared" si="2"/>
        <v>0.84067796610169487</v>
      </c>
      <c r="N31" s="20">
        <f t="shared" si="3"/>
        <v>0.7420914740964728</v>
      </c>
    </row>
    <row r="32" spans="1:14" ht="20.25" customHeight="1" x14ac:dyDescent="0.25">
      <c r="A32" s="16">
        <v>45381</v>
      </c>
      <c r="B32" s="17" t="s">
        <v>18</v>
      </c>
      <c r="C32" s="18" t="s">
        <v>16</v>
      </c>
      <c r="D32" s="17" t="s">
        <v>11</v>
      </c>
      <c r="E32" s="17">
        <v>295</v>
      </c>
      <c r="F32" s="17">
        <v>259</v>
      </c>
      <c r="G32" s="19">
        <f t="shared" si="0"/>
        <v>0.87796610169491529</v>
      </c>
      <c r="H32" s="17">
        <v>765</v>
      </c>
      <c r="I32" s="17">
        <v>367</v>
      </c>
      <c r="J32" s="18">
        <f t="shared" si="1"/>
        <v>0.47973856209150328</v>
      </c>
      <c r="K32" s="17">
        <v>235</v>
      </c>
      <c r="L32" s="17">
        <v>214</v>
      </c>
      <c r="M32" s="18">
        <f t="shared" si="2"/>
        <v>0.91063829787234041</v>
      </c>
      <c r="N32" s="20">
        <f t="shared" si="3"/>
        <v>0.8081222526274604</v>
      </c>
    </row>
    <row r="33" spans="1:14" ht="20.25" customHeight="1" x14ac:dyDescent="0.25">
      <c r="A33" s="16">
        <v>45381</v>
      </c>
      <c r="B33" s="17" t="s">
        <v>18</v>
      </c>
      <c r="C33" s="18" t="s">
        <v>16</v>
      </c>
      <c r="D33" s="17" t="s">
        <v>12</v>
      </c>
      <c r="E33" s="17">
        <v>262</v>
      </c>
      <c r="F33" s="17">
        <v>170</v>
      </c>
      <c r="G33" s="19">
        <f t="shared" si="0"/>
        <v>0.64885496183206104</v>
      </c>
      <c r="H33" s="17">
        <v>715</v>
      </c>
      <c r="I33" s="17">
        <v>323</v>
      </c>
      <c r="J33" s="18">
        <f t="shared" si="1"/>
        <v>0.45174825174825173</v>
      </c>
      <c r="K33" s="17">
        <v>206</v>
      </c>
      <c r="L33" s="17">
        <v>215</v>
      </c>
      <c r="M33" s="18">
        <f t="shared" si="2"/>
        <v>1.0436893203883495</v>
      </c>
      <c r="N33" s="20">
        <f t="shared" si="3"/>
        <v>0.72788392738218577</v>
      </c>
    </row>
    <row r="34" spans="1:14" ht="20.25" customHeight="1" x14ac:dyDescent="0.25">
      <c r="A34" s="16">
        <v>45381</v>
      </c>
      <c r="B34" s="17" t="s">
        <v>18</v>
      </c>
      <c r="C34" s="18" t="s">
        <v>16</v>
      </c>
      <c r="D34" s="17" t="s">
        <v>13</v>
      </c>
      <c r="E34" s="17">
        <v>286</v>
      </c>
      <c r="F34" s="17">
        <v>342</v>
      </c>
      <c r="G34" s="19">
        <f t="shared" si="0"/>
        <v>1.1958041958041958</v>
      </c>
      <c r="H34" s="17">
        <v>720</v>
      </c>
      <c r="I34" s="17">
        <v>331</v>
      </c>
      <c r="J34" s="18">
        <f t="shared" si="1"/>
        <v>0.4597222222222222</v>
      </c>
      <c r="K34" s="17">
        <v>217</v>
      </c>
      <c r="L34" s="17">
        <v>292</v>
      </c>
      <c r="M34" s="18">
        <f t="shared" si="2"/>
        <v>1.3456221198156681</v>
      </c>
      <c r="N34" s="20">
        <f t="shared" si="3"/>
        <v>1.0935331782912427</v>
      </c>
    </row>
    <row r="35" spans="1:14" ht="20.25" customHeight="1" x14ac:dyDescent="0.25">
      <c r="A35" s="16">
        <v>45412</v>
      </c>
      <c r="B35" s="17" t="s">
        <v>17</v>
      </c>
      <c r="C35" s="18" t="s">
        <v>14</v>
      </c>
      <c r="D35" s="17" t="s">
        <v>3</v>
      </c>
      <c r="E35" s="17">
        <v>190</v>
      </c>
      <c r="F35" s="17">
        <v>121</v>
      </c>
      <c r="G35" s="19">
        <f t="shared" si="0"/>
        <v>0.63684210526315788</v>
      </c>
      <c r="H35" s="17">
        <v>750</v>
      </c>
      <c r="I35" s="17">
        <v>382</v>
      </c>
      <c r="J35" s="18">
        <f t="shared" si="1"/>
        <v>0.5093333333333333</v>
      </c>
      <c r="K35" s="17">
        <v>209</v>
      </c>
      <c r="L35" s="17">
        <v>200</v>
      </c>
      <c r="M35" s="18">
        <f t="shared" si="2"/>
        <v>0.9569377990430622</v>
      </c>
      <c r="N35" s="20">
        <f t="shared" si="3"/>
        <v>0.70736905901116431</v>
      </c>
    </row>
    <row r="36" spans="1:14" ht="20.25" customHeight="1" x14ac:dyDescent="0.25">
      <c r="A36" s="16">
        <v>45412</v>
      </c>
      <c r="B36" s="17" t="s">
        <v>17</v>
      </c>
      <c r="C36" s="18" t="s">
        <v>14</v>
      </c>
      <c r="D36" s="17" t="s">
        <v>4</v>
      </c>
      <c r="E36" s="17">
        <v>181</v>
      </c>
      <c r="F36" s="17">
        <v>291</v>
      </c>
      <c r="G36" s="19">
        <f t="shared" si="0"/>
        <v>1.6077348066298343</v>
      </c>
      <c r="H36" s="17">
        <v>740</v>
      </c>
      <c r="I36" s="17">
        <v>330</v>
      </c>
      <c r="J36" s="18">
        <f t="shared" si="1"/>
        <v>0.44594594594594594</v>
      </c>
      <c r="K36" s="17">
        <v>262</v>
      </c>
      <c r="L36" s="17">
        <v>230</v>
      </c>
      <c r="M36" s="18">
        <f t="shared" si="2"/>
        <v>0.87786259541984735</v>
      </c>
      <c r="N36" s="20">
        <f t="shared" si="3"/>
        <v>1.1564153711300604</v>
      </c>
    </row>
    <row r="37" spans="1:14" ht="20.25" customHeight="1" x14ac:dyDescent="0.25">
      <c r="A37" s="16">
        <v>45412</v>
      </c>
      <c r="B37" s="17" t="s">
        <v>17</v>
      </c>
      <c r="C37" s="18" t="s">
        <v>15</v>
      </c>
      <c r="D37" s="17" t="s">
        <v>5</v>
      </c>
      <c r="E37" s="17">
        <v>201</v>
      </c>
      <c r="F37" s="17">
        <v>150</v>
      </c>
      <c r="G37" s="19">
        <f t="shared" si="0"/>
        <v>0.74626865671641796</v>
      </c>
      <c r="H37" s="17">
        <v>780</v>
      </c>
      <c r="I37" s="17">
        <v>392</v>
      </c>
      <c r="J37" s="18">
        <f t="shared" si="1"/>
        <v>0.50256410256410255</v>
      </c>
      <c r="K37" s="17">
        <v>259</v>
      </c>
      <c r="L37" s="17">
        <v>233</v>
      </c>
      <c r="M37" s="18">
        <f t="shared" si="2"/>
        <v>0.89961389961389959</v>
      </c>
      <c r="N37" s="20">
        <f t="shared" si="3"/>
        <v>0.74353131875519929</v>
      </c>
    </row>
    <row r="38" spans="1:14" ht="20.25" customHeight="1" x14ac:dyDescent="0.25">
      <c r="A38" s="16">
        <v>45412</v>
      </c>
      <c r="B38" s="17" t="s">
        <v>17</v>
      </c>
      <c r="C38" s="18" t="s">
        <v>15</v>
      </c>
      <c r="D38" s="17" t="s">
        <v>6</v>
      </c>
      <c r="E38" s="17">
        <v>151</v>
      </c>
      <c r="F38" s="17">
        <v>240</v>
      </c>
      <c r="G38" s="19">
        <f t="shared" si="0"/>
        <v>1.5894039735099337</v>
      </c>
      <c r="H38" s="17">
        <v>760</v>
      </c>
      <c r="I38" s="17">
        <v>364</v>
      </c>
      <c r="J38" s="18">
        <f t="shared" si="1"/>
        <v>0.47894736842105262</v>
      </c>
      <c r="K38" s="17">
        <v>243</v>
      </c>
      <c r="L38" s="17">
        <v>289</v>
      </c>
      <c r="M38" s="18">
        <f t="shared" si="2"/>
        <v>1.1893004115226338</v>
      </c>
      <c r="N38" s="20">
        <f t="shared" si="3"/>
        <v>1.2472815838959674</v>
      </c>
    </row>
    <row r="39" spans="1:14" ht="20.25" customHeight="1" x14ac:dyDescent="0.25">
      <c r="A39" s="16">
        <v>45412</v>
      </c>
      <c r="B39" s="17" t="s">
        <v>18</v>
      </c>
      <c r="C39" s="18" t="s">
        <v>23</v>
      </c>
      <c r="D39" s="17" t="s">
        <v>7</v>
      </c>
      <c r="E39" s="17">
        <v>209</v>
      </c>
      <c r="F39" s="17">
        <v>282</v>
      </c>
      <c r="G39" s="19">
        <f t="shared" si="0"/>
        <v>1.3492822966507176</v>
      </c>
      <c r="H39" s="17">
        <v>730</v>
      </c>
      <c r="I39" s="17">
        <v>385</v>
      </c>
      <c r="J39" s="18">
        <f t="shared" si="1"/>
        <v>0.5273972602739726</v>
      </c>
      <c r="K39" s="17">
        <v>268</v>
      </c>
      <c r="L39" s="17">
        <v>226</v>
      </c>
      <c r="M39" s="18">
        <f t="shared" si="2"/>
        <v>0.84328358208955223</v>
      </c>
      <c r="N39" s="20">
        <f t="shared" si="3"/>
        <v>1.0331056750070189</v>
      </c>
    </row>
    <row r="40" spans="1:14" ht="20.25" customHeight="1" x14ac:dyDescent="0.25">
      <c r="A40" s="16">
        <v>45412</v>
      </c>
      <c r="B40" s="17" t="s">
        <v>18</v>
      </c>
      <c r="C40" s="18" t="s">
        <v>23</v>
      </c>
      <c r="D40" s="17" t="s">
        <v>8</v>
      </c>
      <c r="E40" s="17">
        <v>152</v>
      </c>
      <c r="F40" s="17">
        <v>214</v>
      </c>
      <c r="G40" s="19">
        <f t="shared" si="0"/>
        <v>1.4078947368421053</v>
      </c>
      <c r="H40" s="17">
        <v>750</v>
      </c>
      <c r="I40" s="17">
        <v>369</v>
      </c>
      <c r="J40" s="18">
        <f t="shared" si="1"/>
        <v>0.49199999999999999</v>
      </c>
      <c r="K40" s="17">
        <v>280</v>
      </c>
      <c r="L40" s="17">
        <v>217</v>
      </c>
      <c r="M40" s="18">
        <f t="shared" si="2"/>
        <v>0.77500000000000002</v>
      </c>
      <c r="N40" s="20">
        <f t="shared" si="3"/>
        <v>1.0348473684210526</v>
      </c>
    </row>
    <row r="41" spans="1:14" ht="20.25" customHeight="1" x14ac:dyDescent="0.25">
      <c r="A41" s="16">
        <v>45412</v>
      </c>
      <c r="B41" s="17" t="s">
        <v>18</v>
      </c>
      <c r="C41" s="18" t="s">
        <v>23</v>
      </c>
      <c r="D41" s="17" t="s">
        <v>9</v>
      </c>
      <c r="E41" s="17">
        <v>285</v>
      </c>
      <c r="F41" s="17">
        <v>286</v>
      </c>
      <c r="G41" s="19">
        <f t="shared" si="0"/>
        <v>1.0035087719298246</v>
      </c>
      <c r="H41" s="17">
        <v>700</v>
      </c>
      <c r="I41" s="17">
        <v>357</v>
      </c>
      <c r="J41" s="18">
        <f t="shared" si="1"/>
        <v>0.51</v>
      </c>
      <c r="K41" s="17">
        <v>243</v>
      </c>
      <c r="L41" s="17">
        <v>247</v>
      </c>
      <c r="M41" s="18">
        <f t="shared" si="2"/>
        <v>1.0164609053497942</v>
      </c>
      <c r="N41" s="20">
        <f t="shared" si="3"/>
        <v>0.90869265756985051</v>
      </c>
    </row>
    <row r="42" spans="1:14" ht="20.25" customHeight="1" x14ac:dyDescent="0.25">
      <c r="A42" s="16">
        <v>45412</v>
      </c>
      <c r="B42" s="17" t="s">
        <v>18</v>
      </c>
      <c r="C42" s="18" t="s">
        <v>16</v>
      </c>
      <c r="D42" s="17" t="s">
        <v>10</v>
      </c>
      <c r="E42" s="17">
        <v>162</v>
      </c>
      <c r="F42" s="17">
        <v>226</v>
      </c>
      <c r="G42" s="19">
        <f t="shared" si="0"/>
        <v>1.3950617283950617</v>
      </c>
      <c r="H42" s="17">
        <v>735</v>
      </c>
      <c r="I42" s="17">
        <v>330</v>
      </c>
      <c r="J42" s="18">
        <f t="shared" si="1"/>
        <v>0.44897959183673469</v>
      </c>
      <c r="K42" s="17">
        <v>241</v>
      </c>
      <c r="L42" s="17">
        <v>279</v>
      </c>
      <c r="M42" s="18">
        <f t="shared" si="2"/>
        <v>1.1576763485477179</v>
      </c>
      <c r="N42" s="20">
        <f t="shared" si="3"/>
        <v>1.1346296871291932</v>
      </c>
    </row>
    <row r="43" spans="1:14" ht="20.25" customHeight="1" x14ac:dyDescent="0.25">
      <c r="A43" s="16">
        <v>45412</v>
      </c>
      <c r="B43" s="17" t="s">
        <v>18</v>
      </c>
      <c r="C43" s="18" t="s">
        <v>16</v>
      </c>
      <c r="D43" s="17" t="s">
        <v>11</v>
      </c>
      <c r="E43" s="17">
        <v>186</v>
      </c>
      <c r="F43" s="17">
        <v>317</v>
      </c>
      <c r="G43" s="19">
        <f t="shared" si="0"/>
        <v>1.7043010752688172</v>
      </c>
      <c r="H43" s="17">
        <v>765</v>
      </c>
      <c r="I43" s="17">
        <v>331</v>
      </c>
      <c r="J43" s="18">
        <f t="shared" si="1"/>
        <v>0.43267973856209152</v>
      </c>
      <c r="K43" s="17">
        <v>220</v>
      </c>
      <c r="L43" s="17">
        <v>206</v>
      </c>
      <c r="M43" s="18">
        <f t="shared" si="2"/>
        <v>0.9363636363636364</v>
      </c>
      <c r="N43" s="20">
        <f t="shared" si="3"/>
        <v>1.2195955762559179</v>
      </c>
    </row>
    <row r="44" spans="1:14" ht="20.25" customHeight="1" x14ac:dyDescent="0.25">
      <c r="A44" s="16">
        <v>45412</v>
      </c>
      <c r="B44" s="17" t="s">
        <v>18</v>
      </c>
      <c r="C44" s="18" t="s">
        <v>16</v>
      </c>
      <c r="D44" s="17" t="s">
        <v>12</v>
      </c>
      <c r="E44" s="17">
        <v>244</v>
      </c>
      <c r="F44" s="17">
        <v>343</v>
      </c>
      <c r="G44" s="19">
        <f t="shared" si="0"/>
        <v>1.4057377049180328</v>
      </c>
      <c r="H44" s="17">
        <v>715</v>
      </c>
      <c r="I44" s="17">
        <v>326</v>
      </c>
      <c r="J44" s="18">
        <f t="shared" si="1"/>
        <v>0.45594405594405596</v>
      </c>
      <c r="K44" s="17">
        <v>200</v>
      </c>
      <c r="L44" s="17">
        <v>276</v>
      </c>
      <c r="M44" s="18">
        <f t="shared" si="2"/>
        <v>1.38</v>
      </c>
      <c r="N44" s="20">
        <f t="shared" si="3"/>
        <v>1.2080576636478275</v>
      </c>
    </row>
    <row r="45" spans="1:14" ht="20.25" customHeight="1" x14ac:dyDescent="0.25">
      <c r="A45" s="16">
        <v>45412</v>
      </c>
      <c r="B45" s="17" t="s">
        <v>18</v>
      </c>
      <c r="C45" s="18" t="s">
        <v>16</v>
      </c>
      <c r="D45" s="17" t="s">
        <v>13</v>
      </c>
      <c r="E45" s="17">
        <v>174</v>
      </c>
      <c r="F45" s="17">
        <v>254</v>
      </c>
      <c r="G45" s="19">
        <f t="shared" si="0"/>
        <v>1.4597701149425288</v>
      </c>
      <c r="H45" s="17">
        <v>720</v>
      </c>
      <c r="I45" s="17">
        <v>399</v>
      </c>
      <c r="J45" s="18">
        <f t="shared" si="1"/>
        <v>0.5541666666666667</v>
      </c>
      <c r="K45" s="17">
        <v>221</v>
      </c>
      <c r="L45" s="17">
        <v>203</v>
      </c>
      <c r="M45" s="18">
        <f t="shared" si="2"/>
        <v>0.91855203619909498</v>
      </c>
      <c r="N45" s="20">
        <f t="shared" si="3"/>
        <v>1.1162840016643263</v>
      </c>
    </row>
    <row r="46" spans="1:14" ht="20.25" customHeight="1" x14ac:dyDescent="0.25">
      <c r="A46" s="16">
        <v>45442</v>
      </c>
      <c r="B46" s="17" t="s">
        <v>17</v>
      </c>
      <c r="C46" s="18" t="s">
        <v>14</v>
      </c>
      <c r="D46" s="17" t="s">
        <v>3</v>
      </c>
      <c r="E46" s="17">
        <v>290</v>
      </c>
      <c r="F46" s="17">
        <v>161</v>
      </c>
      <c r="G46" s="19">
        <f t="shared" si="0"/>
        <v>0.55517241379310345</v>
      </c>
      <c r="H46" s="17">
        <v>750</v>
      </c>
      <c r="I46" s="17">
        <v>344</v>
      </c>
      <c r="J46" s="18">
        <f t="shared" si="1"/>
        <v>0.45866666666666667</v>
      </c>
      <c r="K46" s="17">
        <v>298</v>
      </c>
      <c r="L46" s="17">
        <v>263</v>
      </c>
      <c r="M46" s="18">
        <f t="shared" si="2"/>
        <v>0.8825503355704698</v>
      </c>
      <c r="N46" s="20">
        <f t="shared" si="3"/>
        <v>0.63408464090102601</v>
      </c>
    </row>
    <row r="47" spans="1:14" ht="20.25" customHeight="1" x14ac:dyDescent="0.25">
      <c r="A47" s="16">
        <v>45442</v>
      </c>
      <c r="B47" s="17" t="s">
        <v>17</v>
      </c>
      <c r="C47" s="18" t="s">
        <v>14</v>
      </c>
      <c r="D47" s="17" t="s">
        <v>4</v>
      </c>
      <c r="E47" s="17">
        <v>252</v>
      </c>
      <c r="F47" s="17">
        <v>261</v>
      </c>
      <c r="G47" s="19">
        <f t="shared" si="0"/>
        <v>1.0357142857142858</v>
      </c>
      <c r="H47" s="17">
        <v>740</v>
      </c>
      <c r="I47" s="17">
        <v>357</v>
      </c>
      <c r="J47" s="18">
        <f t="shared" si="1"/>
        <v>0.48243243243243245</v>
      </c>
      <c r="K47" s="17">
        <v>237</v>
      </c>
      <c r="L47" s="17">
        <v>240</v>
      </c>
      <c r="M47" s="18">
        <f t="shared" si="2"/>
        <v>1.0126582278481013</v>
      </c>
      <c r="N47" s="20">
        <f t="shared" si="3"/>
        <v>0.91814109769805974</v>
      </c>
    </row>
    <row r="48" spans="1:14" ht="20.25" customHeight="1" x14ac:dyDescent="0.25">
      <c r="A48" s="16">
        <v>45442</v>
      </c>
      <c r="B48" s="17" t="s">
        <v>17</v>
      </c>
      <c r="C48" s="18" t="s">
        <v>15</v>
      </c>
      <c r="D48" s="17" t="s">
        <v>5</v>
      </c>
      <c r="E48" s="17">
        <v>171</v>
      </c>
      <c r="F48" s="17">
        <v>225</v>
      </c>
      <c r="G48" s="19">
        <f t="shared" si="0"/>
        <v>1.3157894736842106</v>
      </c>
      <c r="H48" s="17">
        <v>780</v>
      </c>
      <c r="I48" s="17">
        <v>328</v>
      </c>
      <c r="J48" s="18">
        <f t="shared" si="1"/>
        <v>0.42051282051282052</v>
      </c>
      <c r="K48" s="17">
        <v>269</v>
      </c>
      <c r="L48" s="17">
        <v>231</v>
      </c>
      <c r="M48" s="18">
        <f t="shared" si="2"/>
        <v>0.85873605947955389</v>
      </c>
      <c r="N48" s="20">
        <f t="shared" si="3"/>
        <v>0.99961811878853557</v>
      </c>
    </row>
    <row r="49" spans="1:14" ht="20.25" customHeight="1" x14ac:dyDescent="0.25">
      <c r="A49" s="16">
        <v>45442</v>
      </c>
      <c r="B49" s="17" t="s">
        <v>17</v>
      </c>
      <c r="C49" s="18" t="s">
        <v>15</v>
      </c>
      <c r="D49" s="17" t="s">
        <v>6</v>
      </c>
      <c r="E49" s="17">
        <v>205</v>
      </c>
      <c r="F49" s="17">
        <v>195</v>
      </c>
      <c r="G49" s="19">
        <f t="shared" si="0"/>
        <v>0.95121951219512191</v>
      </c>
      <c r="H49" s="17">
        <v>760</v>
      </c>
      <c r="I49" s="17">
        <v>386</v>
      </c>
      <c r="J49" s="18">
        <f t="shared" si="1"/>
        <v>0.50789473684210529</v>
      </c>
      <c r="K49" s="17">
        <v>250</v>
      </c>
      <c r="L49" s="17">
        <v>286</v>
      </c>
      <c r="M49" s="18">
        <f t="shared" si="2"/>
        <v>1.1439999999999999</v>
      </c>
      <c r="N49" s="20">
        <f t="shared" si="3"/>
        <v>0.92038870346598201</v>
      </c>
    </row>
    <row r="50" spans="1:14" ht="20.25" customHeight="1" x14ac:dyDescent="0.25">
      <c r="A50" s="16">
        <v>45442</v>
      </c>
      <c r="B50" s="17" t="s">
        <v>18</v>
      </c>
      <c r="C50" s="18" t="s">
        <v>23</v>
      </c>
      <c r="D50" s="17" t="s">
        <v>7</v>
      </c>
      <c r="E50" s="17">
        <v>227</v>
      </c>
      <c r="F50" s="17">
        <v>187</v>
      </c>
      <c r="G50" s="19">
        <f t="shared" si="0"/>
        <v>0.82378854625550657</v>
      </c>
      <c r="H50" s="17">
        <v>730</v>
      </c>
      <c r="I50" s="17">
        <v>364</v>
      </c>
      <c r="J50" s="18">
        <f t="shared" si="1"/>
        <v>0.49863013698630138</v>
      </c>
      <c r="K50" s="17">
        <v>253</v>
      </c>
      <c r="L50" s="17">
        <v>284</v>
      </c>
      <c r="M50" s="18">
        <f t="shared" si="2"/>
        <v>1.1225296442687747</v>
      </c>
      <c r="N50" s="20">
        <f t="shared" si="3"/>
        <v>0.84837919380564597</v>
      </c>
    </row>
    <row r="51" spans="1:14" ht="20.25" customHeight="1" x14ac:dyDescent="0.25">
      <c r="A51" s="16">
        <v>45442</v>
      </c>
      <c r="B51" s="17" t="s">
        <v>18</v>
      </c>
      <c r="C51" s="18" t="s">
        <v>23</v>
      </c>
      <c r="D51" s="17" t="s">
        <v>8</v>
      </c>
      <c r="E51" s="17">
        <v>298</v>
      </c>
      <c r="F51" s="17">
        <v>168</v>
      </c>
      <c r="G51" s="19">
        <f t="shared" si="0"/>
        <v>0.56375838926174493</v>
      </c>
      <c r="H51" s="17">
        <v>750</v>
      </c>
      <c r="I51" s="17">
        <v>367</v>
      </c>
      <c r="J51" s="18">
        <f t="shared" si="1"/>
        <v>0.48933333333333334</v>
      </c>
      <c r="K51" s="17">
        <v>290</v>
      </c>
      <c r="L51" s="17">
        <v>262</v>
      </c>
      <c r="M51" s="18">
        <f t="shared" si="2"/>
        <v>0.90344827586206899</v>
      </c>
      <c r="N51" s="20">
        <f t="shared" si="3"/>
        <v>0.65078034405615981</v>
      </c>
    </row>
    <row r="52" spans="1:14" ht="20.25" customHeight="1" x14ac:dyDescent="0.25">
      <c r="A52" s="16">
        <v>45442</v>
      </c>
      <c r="B52" s="17" t="s">
        <v>18</v>
      </c>
      <c r="C52" s="18" t="s">
        <v>23</v>
      </c>
      <c r="D52" s="17" t="s">
        <v>9</v>
      </c>
      <c r="E52" s="17">
        <v>231</v>
      </c>
      <c r="F52" s="17">
        <v>209</v>
      </c>
      <c r="G52" s="19">
        <f t="shared" si="0"/>
        <v>0.90476190476190477</v>
      </c>
      <c r="H52" s="17">
        <v>700</v>
      </c>
      <c r="I52" s="17">
        <v>339</v>
      </c>
      <c r="J52" s="18">
        <f t="shared" si="1"/>
        <v>0.48428571428571426</v>
      </c>
      <c r="K52" s="17">
        <v>281</v>
      </c>
      <c r="L52" s="17">
        <v>250</v>
      </c>
      <c r="M52" s="18">
        <f t="shared" si="2"/>
        <v>0.88967971530249113</v>
      </c>
      <c r="N52" s="20">
        <f t="shared" si="3"/>
        <v>0.81614200982884255</v>
      </c>
    </row>
    <row r="53" spans="1:14" ht="20.25" customHeight="1" x14ac:dyDescent="0.25">
      <c r="A53" s="16">
        <v>45442</v>
      </c>
      <c r="B53" s="17" t="s">
        <v>18</v>
      </c>
      <c r="C53" s="18" t="s">
        <v>16</v>
      </c>
      <c r="D53" s="17" t="s">
        <v>10</v>
      </c>
      <c r="E53" s="17">
        <v>204</v>
      </c>
      <c r="F53" s="17">
        <v>201</v>
      </c>
      <c r="G53" s="19">
        <f t="shared" si="0"/>
        <v>0.98529411764705888</v>
      </c>
      <c r="H53" s="17">
        <v>735</v>
      </c>
      <c r="I53" s="17">
        <v>347</v>
      </c>
      <c r="J53" s="18">
        <f t="shared" si="1"/>
        <v>0.47210884353741495</v>
      </c>
      <c r="K53" s="17">
        <v>245</v>
      </c>
      <c r="L53" s="17">
        <v>300</v>
      </c>
      <c r="M53" s="18">
        <f t="shared" si="2"/>
        <v>1.2244897959183674</v>
      </c>
      <c r="N53" s="20">
        <f t="shared" si="3"/>
        <v>0.95441576630652269</v>
      </c>
    </row>
    <row r="54" spans="1:14" ht="20.25" customHeight="1" x14ac:dyDescent="0.25">
      <c r="A54" s="16">
        <v>45442</v>
      </c>
      <c r="B54" s="17" t="s">
        <v>18</v>
      </c>
      <c r="C54" s="18" t="s">
        <v>16</v>
      </c>
      <c r="D54" s="17" t="s">
        <v>11</v>
      </c>
      <c r="E54" s="17">
        <v>201</v>
      </c>
      <c r="F54" s="17">
        <v>283</v>
      </c>
      <c r="G54" s="19">
        <f t="shared" si="0"/>
        <v>1.407960199004975</v>
      </c>
      <c r="H54" s="17">
        <v>765</v>
      </c>
      <c r="I54" s="17">
        <v>368</v>
      </c>
      <c r="J54" s="18">
        <f t="shared" si="1"/>
        <v>0.48104575163398694</v>
      </c>
      <c r="K54" s="17">
        <v>233</v>
      </c>
      <c r="L54" s="17">
        <v>281</v>
      </c>
      <c r="M54" s="18">
        <f t="shared" si="2"/>
        <v>1.2060085836909871</v>
      </c>
      <c r="N54" s="20">
        <f t="shared" si="3"/>
        <v>1.161991824936581</v>
      </c>
    </row>
    <row r="55" spans="1:14" ht="20.25" customHeight="1" x14ac:dyDescent="0.25">
      <c r="A55" s="16">
        <v>45442</v>
      </c>
      <c r="B55" s="17" t="s">
        <v>18</v>
      </c>
      <c r="C55" s="18" t="s">
        <v>16</v>
      </c>
      <c r="D55" s="17" t="s">
        <v>12</v>
      </c>
      <c r="E55" s="17">
        <v>261</v>
      </c>
      <c r="F55" s="17">
        <v>278</v>
      </c>
      <c r="G55" s="19">
        <f t="shared" si="0"/>
        <v>1.0651340996168583</v>
      </c>
      <c r="H55" s="17">
        <v>715</v>
      </c>
      <c r="I55" s="17">
        <v>377</v>
      </c>
      <c r="J55" s="18">
        <f t="shared" si="1"/>
        <v>0.52727272727272723</v>
      </c>
      <c r="K55" s="17">
        <v>206</v>
      </c>
      <c r="L55" s="17">
        <v>258</v>
      </c>
      <c r="M55" s="18">
        <f t="shared" si="2"/>
        <v>1.2524271844660195</v>
      </c>
      <c r="N55" s="20">
        <f t="shared" si="3"/>
        <v>1.0137497506027806</v>
      </c>
    </row>
    <row r="56" spans="1:14" ht="20.25" customHeight="1" x14ac:dyDescent="0.25">
      <c r="A56" s="16">
        <v>45442</v>
      </c>
      <c r="B56" s="17" t="s">
        <v>18</v>
      </c>
      <c r="C56" s="18" t="s">
        <v>16</v>
      </c>
      <c r="D56" s="17" t="s">
        <v>13</v>
      </c>
      <c r="E56" s="17">
        <v>209</v>
      </c>
      <c r="F56" s="17">
        <v>181</v>
      </c>
      <c r="G56" s="19">
        <f t="shared" si="0"/>
        <v>0.86602870813397126</v>
      </c>
      <c r="H56" s="17">
        <v>720</v>
      </c>
      <c r="I56" s="17">
        <v>358</v>
      </c>
      <c r="J56" s="18">
        <f t="shared" si="1"/>
        <v>0.49722222222222223</v>
      </c>
      <c r="K56" s="17">
        <v>269</v>
      </c>
      <c r="L56" s="17">
        <v>205</v>
      </c>
      <c r="M56" s="18">
        <f t="shared" si="2"/>
        <v>0.76208178438661711</v>
      </c>
      <c r="N56" s="20">
        <f t="shared" si="3"/>
        <v>0.76108333382741522</v>
      </c>
    </row>
    <row r="57" spans="1:14" ht="20.25" customHeight="1" x14ac:dyDescent="0.25">
      <c r="A57" s="16">
        <v>45473</v>
      </c>
      <c r="B57" s="17" t="s">
        <v>17</v>
      </c>
      <c r="C57" s="18" t="s">
        <v>14</v>
      </c>
      <c r="D57" s="17" t="s">
        <v>3</v>
      </c>
      <c r="E57" s="17">
        <v>184</v>
      </c>
      <c r="F57" s="17">
        <v>183</v>
      </c>
      <c r="G57" s="19">
        <f t="shared" si="0"/>
        <v>0.99456521739130432</v>
      </c>
      <c r="H57" s="17">
        <v>750</v>
      </c>
      <c r="I57" s="17">
        <v>343</v>
      </c>
      <c r="J57" s="18">
        <f t="shared" si="1"/>
        <v>0.45733333333333331</v>
      </c>
      <c r="K57" s="17">
        <v>236</v>
      </c>
      <c r="L57" s="17">
        <v>258</v>
      </c>
      <c r="M57" s="18">
        <f t="shared" si="2"/>
        <v>1.0932203389830508</v>
      </c>
      <c r="N57" s="20">
        <f t="shared" si="3"/>
        <v>0.91671537705723405</v>
      </c>
    </row>
    <row r="58" spans="1:14" ht="20.25" customHeight="1" x14ac:dyDescent="0.25">
      <c r="A58" s="16">
        <v>45473</v>
      </c>
      <c r="B58" s="17" t="s">
        <v>17</v>
      </c>
      <c r="C58" s="18" t="s">
        <v>14</v>
      </c>
      <c r="D58" s="17" t="s">
        <v>4</v>
      </c>
      <c r="E58" s="17">
        <v>250</v>
      </c>
      <c r="F58" s="17">
        <v>216</v>
      </c>
      <c r="G58" s="19">
        <f t="shared" si="0"/>
        <v>0.86399999999999999</v>
      </c>
      <c r="H58" s="17">
        <v>740</v>
      </c>
      <c r="I58" s="17">
        <v>395</v>
      </c>
      <c r="J58" s="18">
        <f t="shared" si="1"/>
        <v>0.53378378378378377</v>
      </c>
      <c r="K58" s="17">
        <v>241</v>
      </c>
      <c r="L58" s="17">
        <v>265</v>
      </c>
      <c r="M58" s="18">
        <f t="shared" si="2"/>
        <v>1.099585062240664</v>
      </c>
      <c r="N58" s="20">
        <f t="shared" si="3"/>
        <v>0.86863227542895594</v>
      </c>
    </row>
    <row r="59" spans="1:14" ht="20.25" customHeight="1" x14ac:dyDescent="0.25">
      <c r="A59" s="16">
        <v>45473</v>
      </c>
      <c r="B59" s="17" t="s">
        <v>17</v>
      </c>
      <c r="C59" s="18" t="s">
        <v>15</v>
      </c>
      <c r="D59" s="17" t="s">
        <v>5</v>
      </c>
      <c r="E59" s="17">
        <v>241</v>
      </c>
      <c r="F59" s="17">
        <v>285</v>
      </c>
      <c r="G59" s="19">
        <f t="shared" si="0"/>
        <v>1.1825726141078838</v>
      </c>
      <c r="H59" s="17">
        <v>780</v>
      </c>
      <c r="I59" s="17">
        <v>386</v>
      </c>
      <c r="J59" s="18">
        <f t="shared" si="1"/>
        <v>0.49487179487179489</v>
      </c>
      <c r="K59" s="17">
        <v>294</v>
      </c>
      <c r="L59" s="17">
        <v>232</v>
      </c>
      <c r="M59" s="18">
        <f t="shared" si="2"/>
        <v>0.78911564625850339</v>
      </c>
      <c r="N59" s="20">
        <f t="shared" si="3"/>
        <v>0.92699535990585191</v>
      </c>
    </row>
    <row r="60" spans="1:14" ht="20.25" customHeight="1" x14ac:dyDescent="0.25">
      <c r="A60" s="16">
        <v>45473</v>
      </c>
      <c r="B60" s="17" t="s">
        <v>17</v>
      </c>
      <c r="C60" s="18" t="s">
        <v>15</v>
      </c>
      <c r="D60" s="17" t="s">
        <v>6</v>
      </c>
      <c r="E60" s="17">
        <v>193</v>
      </c>
      <c r="F60" s="17">
        <v>214</v>
      </c>
      <c r="G60" s="19">
        <f t="shared" si="0"/>
        <v>1.1088082901554404</v>
      </c>
      <c r="H60" s="17">
        <v>760</v>
      </c>
      <c r="I60" s="17">
        <v>323</v>
      </c>
      <c r="J60" s="18">
        <f t="shared" si="1"/>
        <v>0.42499999999999999</v>
      </c>
      <c r="K60" s="17">
        <v>221</v>
      </c>
      <c r="L60" s="17">
        <v>289</v>
      </c>
      <c r="M60" s="18">
        <f t="shared" si="2"/>
        <v>1.3076923076923077</v>
      </c>
      <c r="N60" s="20">
        <f t="shared" si="3"/>
        <v>1.0317118373854124</v>
      </c>
    </row>
    <row r="61" spans="1:14" ht="20.25" customHeight="1" x14ac:dyDescent="0.25">
      <c r="A61" s="16">
        <v>45473</v>
      </c>
      <c r="B61" s="17" t="s">
        <v>18</v>
      </c>
      <c r="C61" s="18" t="s">
        <v>23</v>
      </c>
      <c r="D61" s="17" t="s">
        <v>7</v>
      </c>
      <c r="E61" s="17">
        <v>158</v>
      </c>
      <c r="F61" s="17">
        <v>271</v>
      </c>
      <c r="G61" s="19">
        <f t="shared" si="0"/>
        <v>1.7151898734177216</v>
      </c>
      <c r="H61" s="17">
        <v>730</v>
      </c>
      <c r="I61" s="17">
        <v>380</v>
      </c>
      <c r="J61" s="18">
        <f t="shared" si="1"/>
        <v>0.52054794520547942</v>
      </c>
      <c r="K61" s="17">
        <v>211</v>
      </c>
      <c r="L61" s="17">
        <v>242</v>
      </c>
      <c r="M61" s="18">
        <f t="shared" si="2"/>
        <v>1.1469194312796209</v>
      </c>
      <c r="N61" s="20">
        <f t="shared" si="3"/>
        <v>1.3057803551338429</v>
      </c>
    </row>
    <row r="62" spans="1:14" ht="20.25" customHeight="1" x14ac:dyDescent="0.25">
      <c r="A62" s="16">
        <v>45473</v>
      </c>
      <c r="B62" s="17" t="s">
        <v>18</v>
      </c>
      <c r="C62" s="18" t="s">
        <v>23</v>
      </c>
      <c r="D62" s="17" t="s">
        <v>8</v>
      </c>
      <c r="E62" s="17">
        <v>256</v>
      </c>
      <c r="F62" s="17">
        <v>151</v>
      </c>
      <c r="G62" s="19">
        <f t="shared" si="0"/>
        <v>0.58984375</v>
      </c>
      <c r="H62" s="17">
        <v>750</v>
      </c>
      <c r="I62" s="17">
        <v>353</v>
      </c>
      <c r="J62" s="18">
        <f t="shared" si="1"/>
        <v>0.47066666666666668</v>
      </c>
      <c r="K62" s="17">
        <v>263</v>
      </c>
      <c r="L62" s="17">
        <v>235</v>
      </c>
      <c r="M62" s="18">
        <f t="shared" si="2"/>
        <v>0.89353612167300378</v>
      </c>
      <c r="N62" s="20">
        <f t="shared" si="3"/>
        <v>0.65711604483523445</v>
      </c>
    </row>
    <row r="63" spans="1:14" ht="20.25" customHeight="1" x14ac:dyDescent="0.25">
      <c r="A63" s="16">
        <v>45473</v>
      </c>
      <c r="B63" s="17" t="s">
        <v>18</v>
      </c>
      <c r="C63" s="18" t="s">
        <v>23</v>
      </c>
      <c r="D63" s="17" t="s">
        <v>9</v>
      </c>
      <c r="E63" s="17">
        <v>277</v>
      </c>
      <c r="F63" s="17">
        <v>244</v>
      </c>
      <c r="G63" s="19">
        <f t="shared" si="0"/>
        <v>0.88086642599277976</v>
      </c>
      <c r="H63" s="17">
        <v>700</v>
      </c>
      <c r="I63" s="17">
        <v>349</v>
      </c>
      <c r="J63" s="18">
        <f t="shared" si="1"/>
        <v>0.49857142857142855</v>
      </c>
      <c r="K63" s="17">
        <v>229</v>
      </c>
      <c r="L63" s="17">
        <v>283</v>
      </c>
      <c r="M63" s="18">
        <f t="shared" si="2"/>
        <v>1.2358078602620088</v>
      </c>
      <c r="N63" s="20">
        <f t="shared" si="3"/>
        <v>0.91088985678927825</v>
      </c>
    </row>
    <row r="64" spans="1:14" ht="20.25" customHeight="1" x14ac:dyDescent="0.25">
      <c r="A64" s="16">
        <v>45473</v>
      </c>
      <c r="B64" s="17" t="s">
        <v>18</v>
      </c>
      <c r="C64" s="18" t="s">
        <v>16</v>
      </c>
      <c r="D64" s="17" t="s">
        <v>10</v>
      </c>
      <c r="E64" s="17">
        <v>203</v>
      </c>
      <c r="F64" s="17">
        <v>239</v>
      </c>
      <c r="G64" s="19">
        <f t="shared" si="0"/>
        <v>1.1773399014778325</v>
      </c>
      <c r="H64" s="17">
        <v>735</v>
      </c>
      <c r="I64" s="17">
        <v>332</v>
      </c>
      <c r="J64" s="18">
        <f t="shared" si="1"/>
        <v>0.45170068027210886</v>
      </c>
      <c r="K64" s="17">
        <v>298</v>
      </c>
      <c r="L64" s="17">
        <v>206</v>
      </c>
      <c r="M64" s="18">
        <f t="shared" si="2"/>
        <v>0.6912751677852349</v>
      </c>
      <c r="N64" s="20">
        <f t="shared" si="3"/>
        <v>0.88639263712890859</v>
      </c>
    </row>
    <row r="65" spans="1:14" ht="20.25" customHeight="1" x14ac:dyDescent="0.25">
      <c r="A65" s="16">
        <v>45473</v>
      </c>
      <c r="B65" s="17" t="s">
        <v>18</v>
      </c>
      <c r="C65" s="18" t="s">
        <v>16</v>
      </c>
      <c r="D65" s="17" t="s">
        <v>11</v>
      </c>
      <c r="E65" s="17">
        <v>293</v>
      </c>
      <c r="F65" s="17">
        <v>333</v>
      </c>
      <c r="G65" s="19">
        <f t="shared" si="0"/>
        <v>1.1365187713310581</v>
      </c>
      <c r="H65" s="17">
        <v>765</v>
      </c>
      <c r="I65" s="17">
        <v>363</v>
      </c>
      <c r="J65" s="18">
        <f t="shared" si="1"/>
        <v>0.47450980392156861</v>
      </c>
      <c r="K65" s="17">
        <v>213</v>
      </c>
      <c r="L65" s="17">
        <v>249</v>
      </c>
      <c r="M65" s="18">
        <f t="shared" si="2"/>
        <v>1.1690140845070423</v>
      </c>
      <c r="N65" s="20">
        <f t="shared" si="3"/>
        <v>1.0138655718019554</v>
      </c>
    </row>
    <row r="66" spans="1:14" ht="20.25" customHeight="1" x14ac:dyDescent="0.25">
      <c r="A66" s="16">
        <v>45473</v>
      </c>
      <c r="B66" s="17" t="s">
        <v>18</v>
      </c>
      <c r="C66" s="18" t="s">
        <v>16</v>
      </c>
      <c r="D66" s="17" t="s">
        <v>12</v>
      </c>
      <c r="E66" s="17">
        <v>243</v>
      </c>
      <c r="F66" s="17">
        <v>236</v>
      </c>
      <c r="G66" s="19">
        <f t="shared" si="0"/>
        <v>0.9711934156378601</v>
      </c>
      <c r="H66" s="17">
        <v>715</v>
      </c>
      <c r="I66" s="17">
        <v>346</v>
      </c>
      <c r="J66" s="18">
        <f t="shared" si="1"/>
        <v>0.48391608391608393</v>
      </c>
      <c r="K66" s="17">
        <v>269</v>
      </c>
      <c r="L66" s="17">
        <v>247</v>
      </c>
      <c r="M66" s="18">
        <f t="shared" si="2"/>
        <v>0.91821561338289959</v>
      </c>
      <c r="N66" s="20">
        <f t="shared" si="3"/>
        <v>0.85784460861701661</v>
      </c>
    </row>
    <row r="67" spans="1:14" ht="20.25" customHeight="1" x14ac:dyDescent="0.25">
      <c r="A67" s="16">
        <v>45473</v>
      </c>
      <c r="B67" s="17" t="s">
        <v>18</v>
      </c>
      <c r="C67" s="18" t="s">
        <v>16</v>
      </c>
      <c r="D67" s="17" t="s">
        <v>13</v>
      </c>
      <c r="E67" s="17">
        <v>223</v>
      </c>
      <c r="F67" s="17">
        <v>208</v>
      </c>
      <c r="G67" s="19">
        <f t="shared" ref="G67:G78" si="4">F67/E67</f>
        <v>0.93273542600896864</v>
      </c>
      <c r="H67" s="17">
        <v>720</v>
      </c>
      <c r="I67" s="17">
        <v>356</v>
      </c>
      <c r="J67" s="18">
        <f t="shared" ref="J67:J78" si="5">I67/H67</f>
        <v>0.49444444444444446</v>
      </c>
      <c r="K67" s="17">
        <v>244</v>
      </c>
      <c r="L67" s="17">
        <v>220</v>
      </c>
      <c r="M67" s="18">
        <f t="shared" ref="M67:M78" si="6">L67/K67</f>
        <v>0.90163934426229508</v>
      </c>
      <c r="N67" s="20">
        <f t="shared" ref="N67:N78" si="7">G67*50%+J67*20%+M67*30%</f>
        <v>0.83574840517206173</v>
      </c>
    </row>
    <row r="68" spans="1:14" ht="20.25" customHeight="1" x14ac:dyDescent="0.25">
      <c r="A68" s="16">
        <v>45503</v>
      </c>
      <c r="B68" s="17" t="s">
        <v>17</v>
      </c>
      <c r="C68" s="18" t="s">
        <v>14</v>
      </c>
      <c r="D68" s="17" t="s">
        <v>3</v>
      </c>
      <c r="E68" s="17">
        <v>291</v>
      </c>
      <c r="F68" s="17">
        <v>213</v>
      </c>
      <c r="G68" s="19">
        <f t="shared" si="4"/>
        <v>0.73195876288659789</v>
      </c>
      <c r="H68" s="17">
        <v>750</v>
      </c>
      <c r="I68" s="17">
        <v>348</v>
      </c>
      <c r="J68" s="18">
        <f t="shared" si="5"/>
        <v>0.46400000000000002</v>
      </c>
      <c r="K68" s="17">
        <v>278</v>
      </c>
      <c r="L68" s="17">
        <v>248</v>
      </c>
      <c r="M68" s="18">
        <f t="shared" si="6"/>
        <v>0.8920863309352518</v>
      </c>
      <c r="N68" s="20">
        <f t="shared" si="7"/>
        <v>0.72640528072387445</v>
      </c>
    </row>
    <row r="69" spans="1:14" ht="20.25" customHeight="1" x14ac:dyDescent="0.25">
      <c r="A69" s="16">
        <v>45503</v>
      </c>
      <c r="B69" s="17" t="s">
        <v>17</v>
      </c>
      <c r="C69" s="18" t="s">
        <v>14</v>
      </c>
      <c r="D69" s="17" t="s">
        <v>4</v>
      </c>
      <c r="E69" s="17">
        <v>274</v>
      </c>
      <c r="F69" s="17">
        <v>304</v>
      </c>
      <c r="G69" s="19">
        <f t="shared" si="4"/>
        <v>1.1094890510948905</v>
      </c>
      <c r="H69" s="17">
        <v>740</v>
      </c>
      <c r="I69" s="17">
        <v>346</v>
      </c>
      <c r="J69" s="18">
        <f t="shared" si="5"/>
        <v>0.46756756756756757</v>
      </c>
      <c r="K69" s="17">
        <v>255</v>
      </c>
      <c r="L69" s="17">
        <v>230</v>
      </c>
      <c r="M69" s="18">
        <f t="shared" si="6"/>
        <v>0.90196078431372551</v>
      </c>
      <c r="N69" s="20">
        <f t="shared" si="7"/>
        <v>0.91884627435507649</v>
      </c>
    </row>
    <row r="70" spans="1:14" ht="20.25" customHeight="1" x14ac:dyDescent="0.25">
      <c r="A70" s="16">
        <v>45503</v>
      </c>
      <c r="B70" s="17" t="s">
        <v>17</v>
      </c>
      <c r="C70" s="18" t="s">
        <v>15</v>
      </c>
      <c r="D70" s="17" t="s">
        <v>5</v>
      </c>
      <c r="E70" s="17">
        <v>158</v>
      </c>
      <c r="F70" s="17">
        <v>314</v>
      </c>
      <c r="G70" s="19">
        <f t="shared" si="4"/>
        <v>1.9873417721518987</v>
      </c>
      <c r="H70" s="17">
        <v>780</v>
      </c>
      <c r="I70" s="17">
        <v>350</v>
      </c>
      <c r="J70" s="18">
        <f t="shared" si="5"/>
        <v>0.44871794871794873</v>
      </c>
      <c r="K70" s="17">
        <v>218</v>
      </c>
      <c r="L70" s="17">
        <v>249</v>
      </c>
      <c r="M70" s="18">
        <f t="shared" si="6"/>
        <v>1.1422018348623852</v>
      </c>
      <c r="N70" s="20">
        <f t="shared" si="7"/>
        <v>1.4260750262782547</v>
      </c>
    </row>
    <row r="71" spans="1:14" ht="20.25" customHeight="1" x14ac:dyDescent="0.25">
      <c r="A71" s="16">
        <v>45503</v>
      </c>
      <c r="B71" s="17" t="s">
        <v>17</v>
      </c>
      <c r="C71" s="18" t="s">
        <v>15</v>
      </c>
      <c r="D71" s="17" t="s">
        <v>6</v>
      </c>
      <c r="E71" s="17">
        <v>279</v>
      </c>
      <c r="F71" s="17">
        <v>222</v>
      </c>
      <c r="G71" s="19">
        <f t="shared" si="4"/>
        <v>0.79569892473118276</v>
      </c>
      <c r="H71" s="17">
        <v>760</v>
      </c>
      <c r="I71" s="17">
        <v>322</v>
      </c>
      <c r="J71" s="18">
        <f t="shared" si="5"/>
        <v>0.42368421052631577</v>
      </c>
      <c r="K71" s="17">
        <v>240</v>
      </c>
      <c r="L71" s="17">
        <v>259</v>
      </c>
      <c r="M71" s="18">
        <f t="shared" si="6"/>
        <v>1.0791666666666666</v>
      </c>
      <c r="N71" s="20">
        <f t="shared" si="7"/>
        <v>0.80633630447085447</v>
      </c>
    </row>
    <row r="72" spans="1:14" ht="20.25" customHeight="1" x14ac:dyDescent="0.25">
      <c r="A72" s="16">
        <v>45503</v>
      </c>
      <c r="B72" s="17" t="s">
        <v>18</v>
      </c>
      <c r="C72" s="18" t="s">
        <v>23</v>
      </c>
      <c r="D72" s="17" t="s">
        <v>7</v>
      </c>
      <c r="E72" s="17">
        <v>177</v>
      </c>
      <c r="F72" s="17">
        <v>319</v>
      </c>
      <c r="G72" s="19">
        <f t="shared" si="4"/>
        <v>1.8022598870056497</v>
      </c>
      <c r="H72" s="17">
        <v>730</v>
      </c>
      <c r="I72" s="17">
        <v>340</v>
      </c>
      <c r="J72" s="18">
        <f t="shared" si="5"/>
        <v>0.46575342465753422</v>
      </c>
      <c r="K72" s="17">
        <v>212</v>
      </c>
      <c r="L72" s="17">
        <v>239</v>
      </c>
      <c r="M72" s="18">
        <f t="shared" si="6"/>
        <v>1.1273584905660377</v>
      </c>
      <c r="N72" s="20">
        <f t="shared" si="7"/>
        <v>1.3324881756041429</v>
      </c>
    </row>
    <row r="73" spans="1:14" ht="20.25" customHeight="1" x14ac:dyDescent="0.25">
      <c r="A73" s="16">
        <v>45503</v>
      </c>
      <c r="B73" s="17" t="s">
        <v>18</v>
      </c>
      <c r="C73" s="18" t="s">
        <v>23</v>
      </c>
      <c r="D73" s="17" t="s">
        <v>8</v>
      </c>
      <c r="E73" s="17">
        <v>204</v>
      </c>
      <c r="F73" s="17">
        <v>274</v>
      </c>
      <c r="G73" s="19">
        <f t="shared" si="4"/>
        <v>1.3431372549019607</v>
      </c>
      <c r="H73" s="17">
        <v>750</v>
      </c>
      <c r="I73" s="17">
        <v>362</v>
      </c>
      <c r="J73" s="18">
        <f t="shared" si="5"/>
        <v>0.48266666666666669</v>
      </c>
      <c r="K73" s="17">
        <v>203</v>
      </c>
      <c r="L73" s="17">
        <v>248</v>
      </c>
      <c r="M73" s="18">
        <f t="shared" si="6"/>
        <v>1.2216748768472907</v>
      </c>
      <c r="N73" s="20">
        <f t="shared" si="7"/>
        <v>1.1346044238385009</v>
      </c>
    </row>
    <row r="74" spans="1:14" ht="20.25" customHeight="1" x14ac:dyDescent="0.25">
      <c r="A74" s="16">
        <v>45503</v>
      </c>
      <c r="B74" s="17" t="s">
        <v>18</v>
      </c>
      <c r="C74" s="18" t="s">
        <v>23</v>
      </c>
      <c r="D74" s="17" t="s">
        <v>9</v>
      </c>
      <c r="E74" s="17">
        <v>299</v>
      </c>
      <c r="F74" s="17">
        <v>240</v>
      </c>
      <c r="G74" s="19">
        <f t="shared" si="4"/>
        <v>0.80267558528428096</v>
      </c>
      <c r="H74" s="17">
        <v>700</v>
      </c>
      <c r="I74" s="17">
        <v>368</v>
      </c>
      <c r="J74" s="18">
        <f t="shared" si="5"/>
        <v>0.52571428571428569</v>
      </c>
      <c r="K74" s="17">
        <v>245</v>
      </c>
      <c r="L74" s="17">
        <v>266</v>
      </c>
      <c r="M74" s="18">
        <f t="shared" si="6"/>
        <v>1.0857142857142856</v>
      </c>
      <c r="N74" s="20">
        <f t="shared" si="7"/>
        <v>0.83219493549928325</v>
      </c>
    </row>
    <row r="75" spans="1:14" ht="20.25" customHeight="1" x14ac:dyDescent="0.25">
      <c r="A75" s="16">
        <v>45503</v>
      </c>
      <c r="B75" s="17" t="s">
        <v>18</v>
      </c>
      <c r="C75" s="18" t="s">
        <v>16</v>
      </c>
      <c r="D75" s="17" t="s">
        <v>10</v>
      </c>
      <c r="E75" s="17">
        <v>162</v>
      </c>
      <c r="F75" s="17">
        <v>153</v>
      </c>
      <c r="G75" s="19">
        <f t="shared" si="4"/>
        <v>0.94444444444444442</v>
      </c>
      <c r="H75" s="17">
        <v>735</v>
      </c>
      <c r="I75" s="17">
        <v>390</v>
      </c>
      <c r="J75" s="18">
        <f t="shared" si="5"/>
        <v>0.53061224489795922</v>
      </c>
      <c r="K75" s="17">
        <v>220</v>
      </c>
      <c r="L75" s="17">
        <v>219</v>
      </c>
      <c r="M75" s="18">
        <f t="shared" si="6"/>
        <v>0.99545454545454548</v>
      </c>
      <c r="N75" s="20">
        <f t="shared" si="7"/>
        <v>0.87698103483817769</v>
      </c>
    </row>
    <row r="76" spans="1:14" ht="20.25" customHeight="1" x14ac:dyDescent="0.25">
      <c r="A76" s="16">
        <v>45503</v>
      </c>
      <c r="B76" s="17" t="s">
        <v>18</v>
      </c>
      <c r="C76" s="18" t="s">
        <v>16</v>
      </c>
      <c r="D76" s="17" t="s">
        <v>11</v>
      </c>
      <c r="E76" s="17">
        <v>191</v>
      </c>
      <c r="F76" s="17">
        <v>280</v>
      </c>
      <c r="G76" s="19">
        <f t="shared" si="4"/>
        <v>1.4659685863874345</v>
      </c>
      <c r="H76" s="17">
        <v>765</v>
      </c>
      <c r="I76" s="17">
        <v>356</v>
      </c>
      <c r="J76" s="18">
        <f t="shared" si="5"/>
        <v>0.46535947712418302</v>
      </c>
      <c r="K76" s="17">
        <v>237</v>
      </c>
      <c r="L76" s="17">
        <v>258</v>
      </c>
      <c r="M76" s="18">
        <f t="shared" si="6"/>
        <v>1.0886075949367089</v>
      </c>
      <c r="N76" s="20">
        <f t="shared" si="7"/>
        <v>1.1526384670995666</v>
      </c>
    </row>
    <row r="77" spans="1:14" ht="20.25" customHeight="1" x14ac:dyDescent="0.25">
      <c r="A77" s="16">
        <v>45503</v>
      </c>
      <c r="B77" s="17" t="s">
        <v>18</v>
      </c>
      <c r="C77" s="18" t="s">
        <v>16</v>
      </c>
      <c r="D77" s="17" t="s">
        <v>12</v>
      </c>
      <c r="E77" s="17">
        <v>238</v>
      </c>
      <c r="F77" s="17">
        <v>163</v>
      </c>
      <c r="G77" s="19">
        <f t="shared" si="4"/>
        <v>0.68487394957983194</v>
      </c>
      <c r="H77" s="17">
        <v>715</v>
      </c>
      <c r="I77" s="17">
        <v>337</v>
      </c>
      <c r="J77" s="18">
        <f t="shared" si="5"/>
        <v>0.47132867132867134</v>
      </c>
      <c r="K77" s="17">
        <v>248</v>
      </c>
      <c r="L77" s="17">
        <v>259</v>
      </c>
      <c r="M77" s="18">
        <f t="shared" si="6"/>
        <v>1.0443548387096775</v>
      </c>
      <c r="N77" s="20">
        <f t="shared" si="7"/>
        <v>0.7500091606685535</v>
      </c>
    </row>
    <row r="78" spans="1:14" ht="20.25" customHeight="1" x14ac:dyDescent="0.25">
      <c r="A78" s="16">
        <v>45503</v>
      </c>
      <c r="B78" s="22" t="s">
        <v>18</v>
      </c>
      <c r="C78" s="23" t="s">
        <v>16</v>
      </c>
      <c r="D78" s="22" t="s">
        <v>13</v>
      </c>
      <c r="E78" s="22">
        <v>161</v>
      </c>
      <c r="F78" s="22">
        <v>202</v>
      </c>
      <c r="G78" s="19">
        <f t="shared" si="4"/>
        <v>1.2546583850931676</v>
      </c>
      <c r="H78" s="22">
        <v>720</v>
      </c>
      <c r="I78" s="22">
        <v>395</v>
      </c>
      <c r="J78" s="18">
        <f t="shared" si="5"/>
        <v>0.54861111111111116</v>
      </c>
      <c r="K78" s="22">
        <v>300</v>
      </c>
      <c r="L78" s="22">
        <v>276</v>
      </c>
      <c r="M78" s="18">
        <f t="shared" si="6"/>
        <v>0.92</v>
      </c>
      <c r="N78" s="20">
        <f t="shared" si="7"/>
        <v>1.0130514147688061</v>
      </c>
    </row>
    <row r="79" spans="1:14" ht="20.25" customHeight="1" x14ac:dyDescent="0.25">
      <c r="B79" s="22"/>
      <c r="C79" s="23"/>
      <c r="D79" s="22"/>
      <c r="E79" s="22"/>
      <c r="F79" s="22"/>
      <c r="G79" s="19"/>
      <c r="H79" s="22"/>
      <c r="I79" s="22"/>
      <c r="J79" s="18"/>
      <c r="K79" s="22"/>
      <c r="L79" s="22"/>
      <c r="M79" s="18"/>
      <c r="N79" s="20"/>
    </row>
    <row r="81" spans="6:6" ht="20.25" customHeight="1" x14ac:dyDescent="0.25">
      <c r="F81" s="15"/>
    </row>
  </sheetData>
  <phoneticPr fontId="6"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3C548-F47C-4D12-83D0-3DE28C026D28}">
  <sheetPr codeName="Sheet2"/>
  <dimension ref="A3:O4"/>
  <sheetViews>
    <sheetView tabSelected="1" workbookViewId="0">
      <selection activeCell="C19" sqref="C19"/>
    </sheetView>
  </sheetViews>
  <sheetFormatPr defaultRowHeight="15" x14ac:dyDescent="0.25"/>
  <cols>
    <col min="1" max="1" width="24.5703125" bestFit="1" customWidth="1"/>
    <col min="3" max="3" width="22.28515625" bestFit="1" customWidth="1"/>
    <col min="5" max="5" width="15.28515625" bestFit="1" customWidth="1"/>
    <col min="7" max="8" width="19.42578125" bestFit="1" customWidth="1"/>
    <col min="9" max="9" width="27" bestFit="1" customWidth="1"/>
    <col min="11" max="11" width="20.5703125" bestFit="1" customWidth="1"/>
    <col min="13" max="13" width="27.140625" bestFit="1" customWidth="1"/>
  </cols>
  <sheetData>
    <row r="3" spans="1:15" x14ac:dyDescent="0.25">
      <c r="A3" t="s">
        <v>42</v>
      </c>
      <c r="C3" t="s">
        <v>43</v>
      </c>
      <c r="E3" t="s">
        <v>44</v>
      </c>
      <c r="G3" t="s">
        <v>45</v>
      </c>
      <c r="I3" t="s">
        <v>46</v>
      </c>
      <c r="K3" t="s">
        <v>47</v>
      </c>
      <c r="M3" t="s">
        <v>48</v>
      </c>
    </row>
    <row r="4" spans="1:15" x14ac:dyDescent="0.25">
      <c r="A4">
        <v>17101</v>
      </c>
      <c r="B4" s="27">
        <f>GETPIVOTDATA("Value Ach ('000)",$C$3)/GETPIVOTDATA("Value Target ('000)",$A$3)</f>
        <v>1.0234489211157243</v>
      </c>
      <c r="C4">
        <v>17502</v>
      </c>
      <c r="E4">
        <v>57015</v>
      </c>
      <c r="F4" s="27">
        <f>GETPIVOTDATA("Effective Call",$G$3)/GETPIVOTDATA("Call Plan",$E$3)</f>
        <v>0.48078575813382446</v>
      </c>
      <c r="G4">
        <v>27412</v>
      </c>
      <c r="I4">
        <v>18989</v>
      </c>
      <c r="J4" s="27">
        <f>GETPIVOTDATA("Collection Ach",$K$3)/GETPIVOTDATA("Pmt. Collecion Target",$I$3)</f>
        <v>1.0206961925325189</v>
      </c>
      <c r="K4">
        <v>19382</v>
      </c>
      <c r="M4" s="28">
        <v>0.93620184636916304</v>
      </c>
      <c r="N4" s="28">
        <f>M4</f>
        <v>0.93620184636916304</v>
      </c>
      <c r="O4" t="str">
        <f>LOOKUP(N4,'scoring rule'!B9:B12,'scoring rule'!C9:C12)</f>
        <v>Good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2471A-0B0F-48B6-9448-4684E7B55BF9}">
  <sheetPr codeName="Sheet4"/>
  <dimension ref="B1:C12"/>
  <sheetViews>
    <sheetView zoomScaleNormal="100" workbookViewId="0">
      <selection activeCell="E9" sqref="E9"/>
    </sheetView>
  </sheetViews>
  <sheetFormatPr defaultRowHeight="20.25" customHeight="1" x14ac:dyDescent="0.25"/>
  <cols>
    <col min="1" max="1" width="8.85546875" style="2" customWidth="1"/>
    <col min="2" max="2" width="43.42578125" style="2" customWidth="1"/>
    <col min="3" max="3" width="26.28515625" style="2" customWidth="1"/>
    <col min="4" max="4" width="11.28515625" style="2" customWidth="1"/>
    <col min="5" max="16384" width="9.140625" style="2"/>
  </cols>
  <sheetData>
    <row r="1" spans="2:3" s="1" customFormat="1" ht="23.25" customHeight="1" x14ac:dyDescent="0.25">
      <c r="B1" s="29" t="s">
        <v>28</v>
      </c>
      <c r="C1" s="29"/>
    </row>
    <row r="3" spans="2:3" ht="24" customHeight="1" x14ac:dyDescent="0.25">
      <c r="B3" s="7" t="s">
        <v>29</v>
      </c>
      <c r="C3" s="7" t="s">
        <v>30</v>
      </c>
    </row>
    <row r="4" spans="2:3" ht="24" customHeight="1" x14ac:dyDescent="0.25">
      <c r="B4" s="5" t="s">
        <v>31</v>
      </c>
      <c r="C4" s="6">
        <v>0.5</v>
      </c>
    </row>
    <row r="5" spans="2:3" ht="24" customHeight="1" x14ac:dyDescent="0.25">
      <c r="B5" s="5" t="s">
        <v>32</v>
      </c>
      <c r="C5" s="6">
        <v>0.2</v>
      </c>
    </row>
    <row r="6" spans="2:3" ht="24" customHeight="1" x14ac:dyDescent="0.25">
      <c r="B6" s="5" t="s">
        <v>27</v>
      </c>
      <c r="C6" s="6">
        <v>0.3</v>
      </c>
    </row>
    <row r="7" spans="2:3" ht="24" customHeight="1" x14ac:dyDescent="0.25"/>
    <row r="8" spans="2:3" ht="20.25" customHeight="1" x14ac:dyDescent="0.25">
      <c r="B8" s="8" t="s">
        <v>37</v>
      </c>
      <c r="C8" s="8" t="s">
        <v>36</v>
      </c>
    </row>
    <row r="9" spans="2:3" ht="20.25" customHeight="1" x14ac:dyDescent="0.25">
      <c r="B9" s="6">
        <v>0</v>
      </c>
      <c r="C9" s="5" t="s">
        <v>38</v>
      </c>
    </row>
    <row r="10" spans="2:3" ht="20.25" customHeight="1" x14ac:dyDescent="0.25">
      <c r="B10" s="6">
        <v>0.7</v>
      </c>
      <c r="C10" s="5" t="s">
        <v>39</v>
      </c>
    </row>
    <row r="11" spans="2:3" ht="20.25" customHeight="1" x14ac:dyDescent="0.25">
      <c r="B11" s="6">
        <v>0.8</v>
      </c>
      <c r="C11" s="5" t="s">
        <v>40</v>
      </c>
    </row>
    <row r="12" spans="2:3" ht="20.25" customHeight="1" x14ac:dyDescent="0.25">
      <c r="B12" s="6">
        <v>1</v>
      </c>
      <c r="C12" s="5" t="s">
        <v>41</v>
      </c>
    </row>
  </sheetData>
  <mergeCells count="1">
    <mergeCell ref="B1:C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Evaluation DB</vt:lpstr>
      <vt:lpstr>DataSheet</vt:lpstr>
      <vt:lpstr>pivot</vt:lpstr>
      <vt:lpstr>scoring rule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dc:creator>
  <cp:lastModifiedBy>Ashok Subedi</cp:lastModifiedBy>
  <cp:lastPrinted>2023-10-15T04:02:39Z</cp:lastPrinted>
  <dcterms:created xsi:type="dcterms:W3CDTF">2015-06-05T18:17:20Z</dcterms:created>
  <dcterms:modified xsi:type="dcterms:W3CDTF">2024-05-29T23:56:25Z</dcterms:modified>
</cp:coreProperties>
</file>