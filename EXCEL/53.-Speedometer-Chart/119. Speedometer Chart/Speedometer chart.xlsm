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30" codeName="{A8AEBC96-B0E2-60E0-E325-6F3CC3B7FED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hok\OneDrive\Desktop\"/>
    </mc:Choice>
  </mc:AlternateContent>
  <xr:revisionPtr revIDLastSave="0" documentId="13_ncr:1_{A4602651-72D6-469D-88C9-D5D9BD73AFD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peedometer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" l="1"/>
  <c r="D9" i="2"/>
  <c r="D11" i="2"/>
  <c r="D5" i="2"/>
  <c r="A3" i="1"/>
  <c r="C6" i="2"/>
  <c r="D6" i="2" s="1"/>
  <c r="C3" i="1" s="1"/>
  <c r="C8" i="2"/>
  <c r="D8" i="2" s="1"/>
  <c r="C9" i="2"/>
  <c r="C10" i="2"/>
  <c r="D10" i="2" s="1"/>
  <c r="C7" i="2"/>
  <c r="D7" i="2" s="1"/>
  <c r="C11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E3" i="2"/>
  <c r="AD4" i="2"/>
  <c r="AE4" i="2" s="1"/>
  <c r="K4" i="2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X4" i="2" s="1"/>
  <c r="Y4" i="2" s="1"/>
  <c r="Z4" i="2" s="1"/>
  <c r="AA4" i="2" s="1"/>
  <c r="AB4" i="2" s="1"/>
  <c r="AC4" i="2" s="1"/>
  <c r="G4" i="2"/>
  <c r="H4" i="2" s="1"/>
  <c r="I4" i="2" s="1"/>
  <c r="J4" i="2" s="1"/>
  <c r="F4" i="2"/>
  <c r="B3" i="1" l="1"/>
</calcChain>
</file>

<file path=xl/sharedStrings.xml><?xml version="1.0" encoding="utf-8"?>
<sst xmlns="http://schemas.openxmlformats.org/spreadsheetml/2006/main" count="17" uniqueCount="15">
  <si>
    <t>Sales Representatives</t>
  </si>
  <si>
    <t>George</t>
  </si>
  <si>
    <t>Sofia</t>
  </si>
  <si>
    <t>Emma</t>
  </si>
  <si>
    <t>Olivia</t>
  </si>
  <si>
    <t>Jacob</t>
  </si>
  <si>
    <t>Ethan</t>
  </si>
  <si>
    <t>Taylor</t>
  </si>
  <si>
    <t>Month Target</t>
  </si>
  <si>
    <t>Sales Representaive wise Sales Qty Target vs Achievement Tracker (May. 2024)</t>
  </si>
  <si>
    <t>ACH</t>
  </si>
  <si>
    <t>ACH %</t>
  </si>
  <si>
    <t>Sales Rep.</t>
  </si>
  <si>
    <t>TGT</t>
  </si>
  <si>
    <t>ACH%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</si>
</sst>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ptos Narrow"/>
      <family val="2"/>
    </font>
    <font>
      <b/>
      <sz val="12"/>
      <color theme="1"/>
      <name val="Aptos Narrow"/>
      <family val="2"/>
    </font>
    <font>
      <b/>
      <sz val="18"/>
      <color theme="1"/>
      <name val="Aptos Narrow"/>
      <family val="2"/>
    </font>
    <font>
      <sz val="16"/>
      <color theme="1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14" fontId="2" fillId="2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9" fontId="2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9" fontId="3" fillId="3" borderId="1" xfId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horizont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6600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</xdr:row>
      <xdr:rowOff>133350</xdr:rowOff>
    </xdr:from>
    <xdr:to>
      <xdr:col>10</xdr:col>
      <xdr:colOff>114300</xdr:colOff>
      <xdr:row>26</xdr:row>
      <xdr:rowOff>57149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6F452C26-7AA3-B20E-4F40-0E5A307D3B48}"/>
            </a:ext>
          </a:extLst>
        </xdr:cNvPr>
        <xdr:cNvGrpSpPr/>
      </xdr:nvGrpSpPr>
      <xdr:grpSpPr>
        <a:xfrm>
          <a:off x="3352800" y="1095375"/>
          <a:ext cx="4038600" cy="4495799"/>
          <a:chOff x="3352800" y="819150"/>
          <a:chExt cx="4038600" cy="4495799"/>
        </a:xfrm>
      </xdr:grpSpPr>
      <xdr:sp macro="" textlink="">
        <xdr:nvSpPr>
          <xdr:cNvPr id="17" name="Block Arc 16">
            <a:extLst>
              <a:ext uri="{FF2B5EF4-FFF2-40B4-BE49-F238E27FC236}">
                <a16:creationId xmlns:a16="http://schemas.microsoft.com/office/drawing/2014/main" id="{5735D7C7-3695-46E1-98AD-0C1E33AB790E}"/>
              </a:ext>
            </a:extLst>
          </xdr:cNvPr>
          <xdr:cNvSpPr/>
        </xdr:nvSpPr>
        <xdr:spPr>
          <a:xfrm>
            <a:off x="3790949" y="1133474"/>
            <a:ext cx="3171825" cy="4181475"/>
          </a:xfrm>
          <a:prstGeom prst="blockArc">
            <a:avLst>
              <a:gd name="adj1" fmla="val 12091878"/>
              <a:gd name="adj2" fmla="val 20324547"/>
              <a:gd name="adj3" fmla="val 8042"/>
            </a:avLst>
          </a:prstGeom>
          <a:gradFill flip="none" rotWithShape="1">
            <a:gsLst>
              <a:gs pos="51000">
                <a:srgbClr val="FFFF00"/>
              </a:gs>
              <a:gs pos="0">
                <a:srgbClr val="FF6600"/>
              </a:gs>
              <a:gs pos="100000">
                <a:srgbClr val="66FF99"/>
              </a:gs>
            </a:gsLst>
            <a:lin ang="0" scaled="1"/>
            <a:tileRect/>
          </a:gradFill>
          <a:ln>
            <a:noFill/>
          </a:ln>
          <a:effectLst>
            <a:outerShdw blurRad="50800" dist="50800" dir="5400000" algn="ctr" rotWithShape="0">
              <a:srgbClr val="000000">
                <a:alpha val="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" name="Block Arc 1">
            <a:extLst>
              <a:ext uri="{FF2B5EF4-FFF2-40B4-BE49-F238E27FC236}">
                <a16:creationId xmlns:a16="http://schemas.microsoft.com/office/drawing/2014/main" id="{124DF379-68D5-B996-3C33-73E7AF90E123}"/>
              </a:ext>
            </a:extLst>
          </xdr:cNvPr>
          <xdr:cNvSpPr/>
        </xdr:nvSpPr>
        <xdr:spPr>
          <a:xfrm>
            <a:off x="3524250" y="819150"/>
            <a:ext cx="3695700" cy="3867150"/>
          </a:xfrm>
          <a:prstGeom prst="blockArc">
            <a:avLst>
              <a:gd name="adj1" fmla="val 10800000"/>
              <a:gd name="adj2" fmla="val 13713"/>
              <a:gd name="adj3" fmla="val 6412"/>
            </a:avLst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57E06B29-0880-AD1A-FCF1-A94B03C2E9C7}"/>
              </a:ext>
            </a:extLst>
          </xdr:cNvPr>
          <xdr:cNvSpPr/>
        </xdr:nvSpPr>
        <xdr:spPr>
          <a:xfrm rot="18063848">
            <a:off x="3936242" y="2045127"/>
            <a:ext cx="366639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10</a:t>
            </a: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644F7A0-094F-442C-BB15-BCFA3549CB55}"/>
              </a:ext>
            </a:extLst>
          </xdr:cNvPr>
          <xdr:cNvSpPr/>
        </xdr:nvSpPr>
        <xdr:spPr>
          <a:xfrm rot="18063848">
            <a:off x="4126739" y="1730802"/>
            <a:ext cx="366639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20</a:t>
            </a: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11066052-C52C-4A93-8DB6-BACBCFEA6147}"/>
              </a:ext>
            </a:extLst>
          </xdr:cNvPr>
          <xdr:cNvSpPr/>
        </xdr:nvSpPr>
        <xdr:spPr>
          <a:xfrm rot="19071271">
            <a:off x="4422014" y="1406951"/>
            <a:ext cx="366639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30</a:t>
            </a:r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A37A3A47-37D1-4CD1-8908-E0B5BD4C996A}"/>
              </a:ext>
            </a:extLst>
          </xdr:cNvPr>
          <xdr:cNvSpPr/>
        </xdr:nvSpPr>
        <xdr:spPr>
          <a:xfrm rot="17583816">
            <a:off x="3876957" y="2388027"/>
            <a:ext cx="275652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0</a:t>
            </a: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63B7031F-1B68-43EE-BD5F-8BECBBE7B71D}"/>
              </a:ext>
            </a:extLst>
          </xdr:cNvPr>
          <xdr:cNvSpPr/>
        </xdr:nvSpPr>
        <xdr:spPr>
          <a:xfrm rot="20167548">
            <a:off x="4764913" y="1187876"/>
            <a:ext cx="366639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40</a:t>
            </a:r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1689FDFB-045D-40BC-BBA8-C2D1676E858F}"/>
              </a:ext>
            </a:extLst>
          </xdr:cNvPr>
          <xdr:cNvSpPr/>
        </xdr:nvSpPr>
        <xdr:spPr>
          <a:xfrm>
            <a:off x="5193537" y="1061305"/>
            <a:ext cx="366639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50</a:t>
            </a: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B0F46095-E2EC-4943-AE48-9736BF16A740}"/>
              </a:ext>
            </a:extLst>
          </xdr:cNvPr>
          <xdr:cNvSpPr/>
        </xdr:nvSpPr>
        <xdr:spPr>
          <a:xfrm rot="1077637">
            <a:off x="5622162" y="1187877"/>
            <a:ext cx="366639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60</a:t>
            </a: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EFF8FD09-965A-4D34-81AF-836F015FEB8F}"/>
              </a:ext>
            </a:extLst>
          </xdr:cNvPr>
          <xdr:cNvSpPr/>
        </xdr:nvSpPr>
        <xdr:spPr>
          <a:xfrm rot="4403331">
            <a:off x="6529170" y="2378503"/>
            <a:ext cx="457626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100</a:t>
            </a:r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BA900E18-DC16-4D1C-BF0A-ED83E1EBF176}"/>
              </a:ext>
            </a:extLst>
          </xdr:cNvPr>
          <xdr:cNvSpPr/>
        </xdr:nvSpPr>
        <xdr:spPr>
          <a:xfrm rot="2344710">
            <a:off x="5955537" y="1397426"/>
            <a:ext cx="366639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70</a:t>
            </a: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F6BB3FF3-3ECC-408F-9B27-1E8457BA7E5D}"/>
              </a:ext>
            </a:extLst>
          </xdr:cNvPr>
          <xdr:cNvSpPr/>
        </xdr:nvSpPr>
        <xdr:spPr>
          <a:xfrm rot="3909810">
            <a:off x="6450837" y="2045126"/>
            <a:ext cx="366639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90</a:t>
            </a:r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5587141D-3B92-420D-B5CD-AD1428916FBF}"/>
              </a:ext>
            </a:extLst>
          </xdr:cNvPr>
          <xdr:cNvSpPr/>
        </xdr:nvSpPr>
        <xdr:spPr>
          <a:xfrm rot="3370304">
            <a:off x="6260337" y="1692702"/>
            <a:ext cx="366639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80</a:t>
            </a:r>
          </a:p>
        </xdr:txBody>
      </xdr:sp>
      <xdr:sp macro="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CD694F40-4C6C-6B66-A380-36A6F4139535}"/>
              </a:ext>
            </a:extLst>
          </xdr:cNvPr>
          <xdr:cNvSpPr/>
        </xdr:nvSpPr>
        <xdr:spPr>
          <a:xfrm>
            <a:off x="3352800" y="2743200"/>
            <a:ext cx="4038600" cy="1905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Oval 20">
            <a:extLst>
              <a:ext uri="{FF2B5EF4-FFF2-40B4-BE49-F238E27FC236}">
                <a16:creationId xmlns:a16="http://schemas.microsoft.com/office/drawing/2014/main" id="{B267FB9C-6673-1C3E-FFC7-1E070D81B788}"/>
              </a:ext>
            </a:extLst>
          </xdr:cNvPr>
          <xdr:cNvSpPr/>
        </xdr:nvSpPr>
        <xdr:spPr>
          <a:xfrm>
            <a:off x="5229225" y="2476500"/>
            <a:ext cx="276225" cy="247650"/>
          </a:xfrm>
          <a:prstGeom prst="ellipse">
            <a:avLst/>
          </a:prstGeom>
          <a:solidFill>
            <a:srgbClr val="C0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896977</xdr:colOff>
      <xdr:row>7</xdr:row>
      <xdr:rowOff>179540</xdr:rowOff>
    </xdr:from>
    <xdr:to>
      <xdr:col>8</xdr:col>
      <xdr:colOff>344527</xdr:colOff>
      <xdr:row>17</xdr:row>
      <xdr:rowOff>141440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2C0D280-D263-249F-8801-68E512F63B68}"/>
            </a:ext>
          </a:extLst>
        </xdr:cNvPr>
        <xdr:cNvGrpSpPr/>
      </xdr:nvGrpSpPr>
      <xdr:grpSpPr>
        <a:xfrm rot="6264000">
          <a:off x="4340265" y="2660802"/>
          <a:ext cx="2038350" cy="390525"/>
          <a:chOff x="6657974" y="1028700"/>
          <a:chExt cx="2038350" cy="390525"/>
        </a:xfrm>
      </xdr:grpSpPr>
      <xdr:sp macro="" textlink="">
        <xdr:nvSpPr>
          <xdr:cNvPr id="35" name="Arrow: Right 34">
            <a:extLst>
              <a:ext uri="{FF2B5EF4-FFF2-40B4-BE49-F238E27FC236}">
                <a16:creationId xmlns:a16="http://schemas.microsoft.com/office/drawing/2014/main" id="{E56E2276-5E39-5C89-8A88-1072DFBD3D04}"/>
              </a:ext>
            </a:extLst>
          </xdr:cNvPr>
          <xdr:cNvSpPr/>
        </xdr:nvSpPr>
        <xdr:spPr>
          <a:xfrm rot="10800000">
            <a:off x="6657974" y="1028700"/>
            <a:ext cx="1019175" cy="390525"/>
          </a:xfrm>
          <a:prstGeom prst="rightArrow">
            <a:avLst>
              <a:gd name="adj1" fmla="val 34634"/>
              <a:gd name="adj2" fmla="val 132500"/>
            </a:avLst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Arrow: Right 35">
            <a:extLst>
              <a:ext uri="{FF2B5EF4-FFF2-40B4-BE49-F238E27FC236}">
                <a16:creationId xmlns:a16="http://schemas.microsoft.com/office/drawing/2014/main" id="{A15ABBA6-7985-4F45-A33C-72B1B3FBFA27}"/>
              </a:ext>
            </a:extLst>
          </xdr:cNvPr>
          <xdr:cNvSpPr/>
        </xdr:nvSpPr>
        <xdr:spPr>
          <a:xfrm>
            <a:off x="7677149" y="1028700"/>
            <a:ext cx="1019175" cy="390525"/>
          </a:xfrm>
          <a:prstGeom prst="rightArrow">
            <a:avLst>
              <a:gd name="adj1" fmla="val 34634"/>
              <a:gd name="adj2" fmla="val 13250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657225</xdr:colOff>
      <xdr:row>15</xdr:row>
      <xdr:rowOff>0</xdr:rowOff>
    </xdr:from>
    <xdr:to>
      <xdr:col>8</xdr:col>
      <xdr:colOff>609600</xdr:colOff>
      <xdr:row>16</xdr:row>
      <xdr:rowOff>38100</xdr:rowOff>
    </xdr:to>
    <xdr:sp macro="" textlink="$C$3">
      <xdr:nvSpPr>
        <xdr:cNvPr id="47" name="Oval 46">
          <a:extLst>
            <a:ext uri="{FF2B5EF4-FFF2-40B4-BE49-F238E27FC236}">
              <a16:creationId xmlns:a16="http://schemas.microsoft.com/office/drawing/2014/main" id="{234B0DBD-9E13-7700-B055-C58A054E1ACF}"/>
            </a:ext>
          </a:extLst>
        </xdr:cNvPr>
        <xdr:cNvSpPr/>
      </xdr:nvSpPr>
      <xdr:spPr>
        <a:xfrm>
          <a:off x="4924425" y="2981325"/>
          <a:ext cx="895350" cy="314325"/>
        </a:xfrm>
        <a:prstGeom prst="ellipse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3CABCE3-BFE9-40CB-AA2D-D9C644FB447B}" type="TxLink">
            <a:rPr lang="en-US" sz="1600" b="1" i="0" u="none" strike="noStrike">
              <a:solidFill>
                <a:srgbClr val="000000"/>
              </a:solidFill>
              <a:latin typeface="Aptos Narrow"/>
            </a:rPr>
            <a:pPr algn="ctr"/>
            <a:t>58%</a:t>
          </a:fld>
          <a:endParaRPr lang="en-US" sz="1400" b="1"/>
        </a:p>
      </xdr:txBody>
    </xdr:sp>
    <xdr:clientData/>
  </xdr:twoCellAnchor>
  <xdr:oneCellAnchor>
    <xdr:from>
      <xdr:col>11</xdr:col>
      <xdr:colOff>608546</xdr:colOff>
      <xdr:row>5</xdr:row>
      <xdr:rowOff>45535</xdr:rowOff>
    </xdr:from>
    <xdr:ext cx="3888309" cy="178298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5CE09D5-9ABE-9195-7CFC-B0A8B6A397EA}"/>
            </a:ext>
          </a:extLst>
        </xdr:cNvPr>
        <xdr:cNvSpPr/>
      </xdr:nvSpPr>
      <xdr:spPr>
        <a:xfrm>
          <a:off x="8495246" y="1302835"/>
          <a:ext cx="3888309" cy="178298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How to</a:t>
          </a:r>
        </a:p>
        <a:p>
          <a:pPr algn="ctr"/>
          <a:r>
            <a:rPr lang="en-US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Make</a:t>
          </a:r>
          <a:r>
            <a:rPr lang="en-US" sz="3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Speedometer</a:t>
          </a:r>
        </a:p>
        <a:p>
          <a:pPr algn="ctr"/>
          <a:r>
            <a:rPr lang="en-US" sz="3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Chart</a:t>
          </a:r>
          <a:endParaRPr lang="en-US" sz="3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6"/>
  <sheetViews>
    <sheetView showGridLines="0" tabSelected="1" zoomScaleNormal="100" workbookViewId="0">
      <selection activeCell="M4" sqref="M4"/>
    </sheetView>
  </sheetViews>
  <sheetFormatPr defaultRowHeight="15.75" x14ac:dyDescent="0.25"/>
  <cols>
    <col min="1" max="7" width="9.140625" style="1"/>
    <col min="8" max="8" width="14.140625" style="1" customWidth="1"/>
    <col min="9" max="9" width="21.85546875" style="1" customWidth="1"/>
    <col min="10" max="16384" width="9.140625" style="1"/>
  </cols>
  <sheetData>
    <row r="1" spans="1:17" x14ac:dyDescent="0.25">
      <c r="Q1" s="13"/>
    </row>
    <row r="2" spans="1:17" ht="22.5" customHeight="1" x14ac:dyDescent="0.25">
      <c r="A2" s="12" t="s">
        <v>13</v>
      </c>
      <c r="B2" s="12" t="s">
        <v>10</v>
      </c>
      <c r="C2" s="12" t="s">
        <v>14</v>
      </c>
      <c r="H2" s="11" t="s">
        <v>12</v>
      </c>
      <c r="I2" s="11" t="s">
        <v>4</v>
      </c>
    </row>
    <row r="3" spans="1:17" ht="21.75" customHeight="1" x14ac:dyDescent="0.25">
      <c r="A3" s="4">
        <f>VLOOKUP(I2,Data!$A$5:$D$11,2,0)</f>
        <v>350</v>
      </c>
      <c r="B3" s="4">
        <f>VLOOKUP(I2,Data!$A$5:$D$11,3,0)</f>
        <v>203</v>
      </c>
      <c r="C3" s="5">
        <f>VLOOKUP(I2,Data!$A$5:$D$11,4,0)</f>
        <v>0.57999999999999996</v>
      </c>
    </row>
    <row r="5" spans="1:17" ht="23.25" customHeight="1" x14ac:dyDescent="0.25"/>
    <row r="16" spans="1:17" ht="21.75" customHeight="1" x14ac:dyDescent="0.25"/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C832033-120B-42D5-8D2D-125483224C51}">
          <x14:formula1>
            <xm:f>Data!$A$5:$A$11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4F5D-A0BC-44F6-BEC2-DF60B031F159}">
  <sheetPr codeName="Sheet2"/>
  <dimension ref="A1:AE11"/>
  <sheetViews>
    <sheetView workbookViewId="0">
      <pane xSplit="4" ySplit="4" topLeftCell="K5" activePane="bottomRight" state="frozen"/>
      <selection pane="topRight" activeCell="E1" sqref="E1"/>
      <selection pane="bottomLeft" activeCell="A5" sqref="A5"/>
      <selection pane="bottomRight" activeCell="O9" sqref="O9"/>
    </sheetView>
  </sheetViews>
  <sheetFormatPr defaultRowHeight="15.75" x14ac:dyDescent="0.25"/>
  <cols>
    <col min="1" max="1" width="25.5703125" style="1" customWidth="1"/>
    <col min="2" max="2" width="16.140625" style="1" customWidth="1"/>
    <col min="3" max="3" width="12.5703125" style="1" customWidth="1"/>
    <col min="4" max="4" width="14.5703125" style="1" customWidth="1"/>
    <col min="5" max="5" width="9.28515625" style="1" bestFit="1" customWidth="1"/>
    <col min="6" max="6" width="9.85546875" style="1" customWidth="1"/>
    <col min="7" max="12" width="9.28515625" style="1" bestFit="1" customWidth="1"/>
    <col min="13" max="31" width="10.42578125" style="1" bestFit="1" customWidth="1"/>
    <col min="32" max="35" width="6.7109375" style="1" bestFit="1" customWidth="1"/>
    <col min="36" max="16384" width="9.140625" style="1"/>
  </cols>
  <sheetData>
    <row r="1" spans="1:31" ht="30" customHeight="1" x14ac:dyDescent="0.25">
      <c r="A1" s="14" t="s">
        <v>9</v>
      </c>
      <c r="B1" s="14"/>
      <c r="C1" s="14"/>
      <c r="D1" s="14"/>
    </row>
    <row r="2" spans="1:31" ht="22.5" customHeight="1" x14ac:dyDescent="0.25">
      <c r="A2" s="14"/>
      <c r="B2" s="14"/>
      <c r="C2" s="14"/>
      <c r="D2" s="14"/>
    </row>
    <row r="3" spans="1:31" x14ac:dyDescent="0.25">
      <c r="A3" s="6"/>
      <c r="B3" s="6"/>
      <c r="C3" s="6"/>
      <c r="D3" s="6"/>
      <c r="E3" s="7" t="str">
        <f>TEXT(E4,"ddd")</f>
        <v>Wed</v>
      </c>
      <c r="F3" s="7" t="str">
        <f t="shared" ref="F3:AE3" si="0">TEXT(F4,"ddd")</f>
        <v>Thu</v>
      </c>
      <c r="G3" s="7" t="str">
        <f t="shared" si="0"/>
        <v>Fri</v>
      </c>
      <c r="H3" s="7" t="str">
        <f t="shared" si="0"/>
        <v>Sun</v>
      </c>
      <c r="I3" s="7" t="str">
        <f t="shared" si="0"/>
        <v>Mon</v>
      </c>
      <c r="J3" s="7" t="str">
        <f t="shared" si="0"/>
        <v>Tue</v>
      </c>
      <c r="K3" s="7" t="str">
        <f t="shared" si="0"/>
        <v>Wed</v>
      </c>
      <c r="L3" s="7" t="str">
        <f t="shared" si="0"/>
        <v>Thu</v>
      </c>
      <c r="M3" s="7" t="str">
        <f t="shared" si="0"/>
        <v>Fri</v>
      </c>
      <c r="N3" s="7" t="str">
        <f t="shared" si="0"/>
        <v>Sun</v>
      </c>
      <c r="O3" s="7" t="str">
        <f t="shared" si="0"/>
        <v>Mon</v>
      </c>
      <c r="P3" s="7" t="str">
        <f t="shared" si="0"/>
        <v>Tue</v>
      </c>
      <c r="Q3" s="7" t="str">
        <f t="shared" si="0"/>
        <v>Wed</v>
      </c>
      <c r="R3" s="7" t="str">
        <f t="shared" si="0"/>
        <v>Thu</v>
      </c>
      <c r="S3" s="7" t="str">
        <f t="shared" si="0"/>
        <v>Fri</v>
      </c>
      <c r="T3" s="7" t="str">
        <f t="shared" si="0"/>
        <v>Sun</v>
      </c>
      <c r="U3" s="7" t="str">
        <f t="shared" si="0"/>
        <v>Mon</v>
      </c>
      <c r="V3" s="7" t="str">
        <f t="shared" si="0"/>
        <v>Tue</v>
      </c>
      <c r="W3" s="7" t="str">
        <f t="shared" si="0"/>
        <v>Wed</v>
      </c>
      <c r="X3" s="7" t="str">
        <f t="shared" si="0"/>
        <v>Thu</v>
      </c>
      <c r="Y3" s="7" t="str">
        <f t="shared" si="0"/>
        <v>Fri</v>
      </c>
      <c r="Z3" s="7" t="str">
        <f t="shared" si="0"/>
        <v>Sun</v>
      </c>
      <c r="AA3" s="7" t="str">
        <f t="shared" si="0"/>
        <v>Mon</v>
      </c>
      <c r="AB3" s="7" t="str">
        <f t="shared" si="0"/>
        <v>Tue</v>
      </c>
      <c r="AC3" s="7" t="str">
        <f t="shared" si="0"/>
        <v>Wed</v>
      </c>
      <c r="AD3" s="7" t="str">
        <f t="shared" si="0"/>
        <v>Thu</v>
      </c>
      <c r="AE3" s="7" t="str">
        <f t="shared" si="0"/>
        <v>Fri</v>
      </c>
    </row>
    <row r="4" spans="1:31" s="3" customFormat="1" ht="21" customHeight="1" x14ac:dyDescent="0.25">
      <c r="A4" s="8" t="s">
        <v>0</v>
      </c>
      <c r="B4" s="8" t="s">
        <v>8</v>
      </c>
      <c r="C4" s="8" t="s">
        <v>10</v>
      </c>
      <c r="D4" s="9" t="s">
        <v>11</v>
      </c>
      <c r="E4" s="2">
        <v>45413</v>
      </c>
      <c r="F4" s="2">
        <f>WORKDAY.INTL(E4,1,17)</f>
        <v>45414</v>
      </c>
      <c r="G4" s="2">
        <f t="shared" ref="G4:AE4" si="1">WORKDAY.INTL(F4,1,17)</f>
        <v>45415</v>
      </c>
      <c r="H4" s="2">
        <f t="shared" si="1"/>
        <v>45417</v>
      </c>
      <c r="I4" s="2">
        <f t="shared" si="1"/>
        <v>45418</v>
      </c>
      <c r="J4" s="2">
        <f t="shared" si="1"/>
        <v>45419</v>
      </c>
      <c r="K4" s="2">
        <f t="shared" si="1"/>
        <v>45420</v>
      </c>
      <c r="L4" s="2">
        <f t="shared" si="1"/>
        <v>45421</v>
      </c>
      <c r="M4" s="2">
        <f t="shared" si="1"/>
        <v>45422</v>
      </c>
      <c r="N4" s="2">
        <f t="shared" si="1"/>
        <v>45424</v>
      </c>
      <c r="O4" s="2">
        <f t="shared" si="1"/>
        <v>45425</v>
      </c>
      <c r="P4" s="2">
        <f t="shared" si="1"/>
        <v>45426</v>
      </c>
      <c r="Q4" s="2">
        <f t="shared" si="1"/>
        <v>45427</v>
      </c>
      <c r="R4" s="2">
        <f t="shared" si="1"/>
        <v>45428</v>
      </c>
      <c r="S4" s="2">
        <f t="shared" si="1"/>
        <v>45429</v>
      </c>
      <c r="T4" s="2">
        <f t="shared" si="1"/>
        <v>45431</v>
      </c>
      <c r="U4" s="2">
        <f t="shared" si="1"/>
        <v>45432</v>
      </c>
      <c r="V4" s="2">
        <f t="shared" si="1"/>
        <v>45433</v>
      </c>
      <c r="W4" s="2">
        <f t="shared" si="1"/>
        <v>45434</v>
      </c>
      <c r="X4" s="2">
        <f t="shared" si="1"/>
        <v>45435</v>
      </c>
      <c r="Y4" s="2">
        <f t="shared" si="1"/>
        <v>45436</v>
      </c>
      <c r="Z4" s="2">
        <f t="shared" si="1"/>
        <v>45438</v>
      </c>
      <c r="AA4" s="2">
        <f t="shared" si="1"/>
        <v>45439</v>
      </c>
      <c r="AB4" s="2">
        <f t="shared" si="1"/>
        <v>45440</v>
      </c>
      <c r="AC4" s="2">
        <f t="shared" si="1"/>
        <v>45441</v>
      </c>
      <c r="AD4" s="2">
        <f t="shared" si="1"/>
        <v>45442</v>
      </c>
      <c r="AE4" s="2">
        <f t="shared" si="1"/>
        <v>45443</v>
      </c>
    </row>
    <row r="5" spans="1:31" s="3" customFormat="1" ht="21" customHeight="1" x14ac:dyDescent="0.25">
      <c r="A5" s="8" t="s">
        <v>3</v>
      </c>
      <c r="B5" s="8">
        <v>500</v>
      </c>
      <c r="C5" s="8">
        <f>SUM(E5:AE5)</f>
        <v>190</v>
      </c>
      <c r="D5" s="10">
        <f>C5/B5</f>
        <v>0.38</v>
      </c>
      <c r="E5" s="4">
        <v>12</v>
      </c>
      <c r="F5" s="4">
        <v>22</v>
      </c>
      <c r="G5" s="4">
        <v>21</v>
      </c>
      <c r="H5" s="4">
        <v>20</v>
      </c>
      <c r="I5" s="4">
        <v>19</v>
      </c>
      <c r="J5" s="4">
        <v>6</v>
      </c>
      <c r="K5" s="4">
        <v>8</v>
      </c>
      <c r="L5" s="4">
        <v>22</v>
      </c>
      <c r="M5" s="4">
        <v>10</v>
      </c>
      <c r="N5" s="4">
        <v>5</v>
      </c>
      <c r="O5" s="4">
        <v>22</v>
      </c>
      <c r="P5" s="4">
        <v>16</v>
      </c>
      <c r="Q5" s="4">
        <v>7</v>
      </c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</row>
    <row r="6" spans="1:31" s="3" customFormat="1" ht="21" customHeight="1" x14ac:dyDescent="0.25">
      <c r="A6" s="8" t="s">
        <v>4</v>
      </c>
      <c r="B6" s="8">
        <v>350</v>
      </c>
      <c r="C6" s="8">
        <f t="shared" ref="C6:C11" si="2">SUM(E6:AE6)</f>
        <v>203</v>
      </c>
      <c r="D6" s="10">
        <f t="shared" ref="D6:D11" si="3">C6/B6</f>
        <v>0.57999999999999996</v>
      </c>
      <c r="E6" s="4">
        <v>19</v>
      </c>
      <c r="F6" s="4">
        <v>11</v>
      </c>
      <c r="G6" s="4">
        <v>23</v>
      </c>
      <c r="H6" s="4">
        <v>17</v>
      </c>
      <c r="I6" s="4">
        <v>4</v>
      </c>
      <c r="J6" s="4">
        <v>25</v>
      </c>
      <c r="K6" s="4">
        <v>12</v>
      </c>
      <c r="L6" s="4">
        <v>18</v>
      </c>
      <c r="M6" s="4">
        <v>5</v>
      </c>
      <c r="N6" s="4">
        <v>34</v>
      </c>
      <c r="O6" s="4">
        <v>10</v>
      </c>
      <c r="P6" s="4">
        <v>7</v>
      </c>
      <c r="Q6" s="4">
        <v>6</v>
      </c>
      <c r="R6" s="4">
        <v>12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s="3" customFormat="1" ht="21" customHeight="1" x14ac:dyDescent="0.25">
      <c r="A7" s="8" t="s">
        <v>5</v>
      </c>
      <c r="B7" s="8">
        <v>400</v>
      </c>
      <c r="C7" s="8">
        <f t="shared" si="2"/>
        <v>127</v>
      </c>
      <c r="D7" s="10">
        <f t="shared" si="3"/>
        <v>0.3175</v>
      </c>
      <c r="E7" s="4">
        <v>14</v>
      </c>
      <c r="F7" s="4">
        <v>9</v>
      </c>
      <c r="G7" s="4">
        <v>10</v>
      </c>
      <c r="H7" s="4">
        <v>23</v>
      </c>
      <c r="I7" s="4">
        <v>23</v>
      </c>
      <c r="J7" s="4">
        <v>22</v>
      </c>
      <c r="K7" s="4"/>
      <c r="L7" s="4"/>
      <c r="M7" s="4"/>
      <c r="N7" s="4"/>
      <c r="O7" s="4">
        <v>5</v>
      </c>
      <c r="P7" s="4">
        <v>9</v>
      </c>
      <c r="Q7" s="4">
        <v>12</v>
      </c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</row>
    <row r="8" spans="1:31" s="3" customFormat="1" ht="21" customHeight="1" x14ac:dyDescent="0.25">
      <c r="A8" s="8" t="s">
        <v>6</v>
      </c>
      <c r="B8" s="8">
        <v>420</v>
      </c>
      <c r="C8" s="8">
        <f t="shared" si="2"/>
        <v>213</v>
      </c>
      <c r="D8" s="10">
        <f t="shared" si="3"/>
        <v>0.50714285714285712</v>
      </c>
      <c r="E8" s="4">
        <v>21</v>
      </c>
      <c r="F8" s="4">
        <v>24</v>
      </c>
      <c r="G8" s="4">
        <v>19</v>
      </c>
      <c r="H8" s="4">
        <v>19</v>
      </c>
      <c r="I8" s="4">
        <v>22</v>
      </c>
      <c r="J8" s="4">
        <v>10</v>
      </c>
      <c r="K8" s="4">
        <v>16</v>
      </c>
      <c r="L8" s="4">
        <v>15</v>
      </c>
      <c r="M8" s="4">
        <v>9</v>
      </c>
      <c r="N8" s="4">
        <v>21</v>
      </c>
      <c r="O8" s="4">
        <v>8</v>
      </c>
      <c r="P8" s="4">
        <v>25</v>
      </c>
      <c r="Q8" s="4">
        <v>4</v>
      </c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</row>
    <row r="9" spans="1:31" s="3" customFormat="1" ht="21" customHeight="1" x14ac:dyDescent="0.25">
      <c r="A9" s="8" t="s">
        <v>1</v>
      </c>
      <c r="B9" s="8">
        <v>400</v>
      </c>
      <c r="C9" s="8">
        <f t="shared" si="2"/>
        <v>156</v>
      </c>
      <c r="D9" s="10">
        <f t="shared" si="3"/>
        <v>0.39</v>
      </c>
      <c r="E9" s="4">
        <v>8</v>
      </c>
      <c r="F9" s="4">
        <v>9</v>
      </c>
      <c r="G9" s="4">
        <v>16</v>
      </c>
      <c r="H9" s="4">
        <v>9</v>
      </c>
      <c r="I9" s="4">
        <v>10</v>
      </c>
      <c r="J9" s="4">
        <v>15</v>
      </c>
      <c r="K9" s="4">
        <v>10</v>
      </c>
      <c r="L9" s="4">
        <v>11</v>
      </c>
      <c r="M9" s="4">
        <v>6</v>
      </c>
      <c r="N9" s="4">
        <v>18</v>
      </c>
      <c r="O9" s="4">
        <v>19</v>
      </c>
      <c r="P9" s="4">
        <v>15</v>
      </c>
      <c r="Q9" s="4">
        <v>10</v>
      </c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</row>
    <row r="10" spans="1:31" s="3" customFormat="1" ht="21" customHeight="1" x14ac:dyDescent="0.25">
      <c r="A10" s="8" t="s">
        <v>7</v>
      </c>
      <c r="B10" s="8">
        <v>530</v>
      </c>
      <c r="C10" s="8">
        <f t="shared" si="2"/>
        <v>190</v>
      </c>
      <c r="D10" s="10">
        <f t="shared" si="3"/>
        <v>0.35849056603773582</v>
      </c>
      <c r="E10" s="4">
        <v>15</v>
      </c>
      <c r="F10" s="4">
        <v>24</v>
      </c>
      <c r="G10" s="4">
        <v>14</v>
      </c>
      <c r="H10" s="4">
        <v>21</v>
      </c>
      <c r="I10" s="4">
        <v>15</v>
      </c>
      <c r="J10" s="4">
        <v>14</v>
      </c>
      <c r="K10" s="4">
        <v>10</v>
      </c>
      <c r="L10" s="4">
        <v>17</v>
      </c>
      <c r="M10" s="4">
        <v>23</v>
      </c>
      <c r="N10" s="4">
        <v>13</v>
      </c>
      <c r="O10" s="4">
        <v>8</v>
      </c>
      <c r="P10" s="4">
        <v>9</v>
      </c>
      <c r="Q10" s="4">
        <v>7</v>
      </c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</row>
    <row r="11" spans="1:31" s="3" customFormat="1" ht="21" customHeight="1" x14ac:dyDescent="0.25">
      <c r="A11" s="8" t="s">
        <v>2</v>
      </c>
      <c r="B11" s="8">
        <v>460</v>
      </c>
      <c r="C11" s="8">
        <f t="shared" si="2"/>
        <v>197</v>
      </c>
      <c r="D11" s="10">
        <f t="shared" si="3"/>
        <v>0.42826086956521742</v>
      </c>
      <c r="E11" s="4">
        <v>4</v>
      </c>
      <c r="F11" s="4">
        <v>14</v>
      </c>
      <c r="G11" s="4">
        <v>20</v>
      </c>
      <c r="H11" s="4">
        <v>16</v>
      </c>
      <c r="I11" s="4">
        <v>3</v>
      </c>
      <c r="J11" s="4">
        <v>17</v>
      </c>
      <c r="K11" s="4">
        <v>20</v>
      </c>
      <c r="L11" s="4">
        <v>22</v>
      </c>
      <c r="M11" s="4">
        <v>23</v>
      </c>
      <c r="N11" s="4">
        <v>20</v>
      </c>
      <c r="O11" s="4">
        <v>10</v>
      </c>
      <c r="P11" s="4">
        <v>24</v>
      </c>
      <c r="Q11" s="4">
        <v>4</v>
      </c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</row>
  </sheetData>
  <mergeCells count="1">
    <mergeCell ref="A1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Speedometer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Ashok</dc:creator>
  <cp:lastModifiedBy>Ashok Subedi</cp:lastModifiedBy>
  <dcterms:created xsi:type="dcterms:W3CDTF">2015-06-05T18:17:20Z</dcterms:created>
  <dcterms:modified xsi:type="dcterms:W3CDTF">2024-05-15T16:53:16Z</dcterms:modified>
</cp:coreProperties>
</file>